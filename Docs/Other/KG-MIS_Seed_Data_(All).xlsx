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2026 Projects\MIS\Docs\Master-data\"/>
    </mc:Choice>
  </mc:AlternateContent>
  <xr:revisionPtr revIDLastSave="0" documentId="8_{BA028344-F34C-467B-9AB0-0D180CC20182}" xr6:coauthVersionLast="47" xr6:coauthVersionMax="47" xr10:uidLastSave="{00000000-0000-0000-0000-000000000000}"/>
  <bookViews>
    <workbookView xWindow="-110" yWindow="-110" windowWidth="19420" windowHeight="11020" firstSheet="13" activeTab="17" xr2:uid="{00000000-000D-0000-FFFF-FFFF00000000}"/>
  </bookViews>
  <sheets>
    <sheet name="Instructions" sheetId="1" r:id="rId1"/>
    <sheet name="Users" sheetId="2" r:id="rId2"/>
    <sheet name="Business Groups" sheetId="3" r:id="rId3"/>
    <sheet name="Market Visit Reports" sheetId="4" r:id="rId4"/>
    <sheet name="Regions" sheetId="5" r:id="rId5"/>
    <sheet name="Outlets" sheetId="6" r:id="rId6"/>
    <sheet name="Products" sheetId="7" r:id="rId7"/>
    <sheet name="Customers" sheetId="8" r:id="rId8"/>
    <sheet name="Customer Interviews" sheetId="9" r:id="rId9"/>
    <sheet name="Weekly Sales" sheetId="10" r:id="rId10"/>
    <sheet name="Surveys &amp; Questionnaires" sheetId="11" r:id="rId11"/>
    <sheet name="Competitors" sheetId="12" r:id="rId12"/>
    <sheet name="Competitor Intelligence" sheetId="15" r:id="rId13"/>
    <sheet name="Alerts &amp; Risks" sheetId="16" r:id="rId14"/>
    <sheet name="Report Catalogue" sheetId="17" r:id="rId15"/>
    <sheet name="KPI" sheetId="18" r:id="rId16"/>
    <sheet name="Integration" sheetId="19" r:id="rId17"/>
    <sheet name="Multimedia Register" sheetId="20" r:id="rId18"/>
  </sheets>
  <definedNames>
    <definedName name="BusinessGroupsList">'Business Groups'!$A$4:$A$11</definedName>
    <definedName name="CustomersList">Customers!$A$4:$A$200</definedName>
    <definedName name="OutletsList">Outlets!$A$4:$A$200</definedName>
    <definedName name="ProductsList">Products!$A$4:$A$199</definedName>
    <definedName name="RegionsList">Regions!$A$4:$A$200</definedName>
    <definedName name="RolesList">#REF!</definedName>
    <definedName name="UsersList">Users!$A$4:$A$200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5" l="1"/>
  <c r="K8" i="15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L200" i="10"/>
  <c r="J200" i="10"/>
  <c r="L199" i="10"/>
  <c r="J199" i="10"/>
  <c r="L198" i="10"/>
  <c r="J198" i="10"/>
  <c r="L197" i="10"/>
  <c r="J197" i="10"/>
  <c r="L196" i="10"/>
  <c r="J196" i="10"/>
  <c r="L195" i="10"/>
  <c r="J195" i="10"/>
  <c r="L194" i="10"/>
  <c r="J194" i="10"/>
  <c r="L193" i="10"/>
  <c r="J193" i="10"/>
  <c r="L192" i="10"/>
  <c r="J192" i="10"/>
  <c r="L191" i="10"/>
  <c r="J191" i="10"/>
  <c r="L190" i="10"/>
  <c r="J190" i="10"/>
  <c r="L189" i="10"/>
  <c r="J189" i="10"/>
  <c r="L188" i="10"/>
  <c r="J188" i="10"/>
  <c r="L187" i="10"/>
  <c r="J187" i="10"/>
  <c r="L186" i="10"/>
  <c r="J186" i="10"/>
  <c r="L185" i="10"/>
  <c r="J185" i="10"/>
  <c r="L184" i="10"/>
  <c r="J184" i="10"/>
  <c r="L183" i="10"/>
  <c r="J183" i="10"/>
  <c r="L182" i="10"/>
  <c r="J182" i="10"/>
  <c r="L181" i="10"/>
  <c r="J181" i="10"/>
  <c r="L180" i="10"/>
  <c r="J180" i="10"/>
  <c r="L179" i="10"/>
  <c r="J179" i="10"/>
  <c r="L178" i="10"/>
  <c r="J178" i="10"/>
  <c r="L177" i="10"/>
  <c r="J177" i="10"/>
  <c r="L176" i="10"/>
  <c r="J176" i="10"/>
  <c r="L175" i="10"/>
  <c r="J175" i="10"/>
  <c r="L174" i="10"/>
  <c r="J174" i="10"/>
  <c r="L173" i="10"/>
  <c r="J173" i="10"/>
  <c r="L172" i="10"/>
  <c r="J172" i="10"/>
  <c r="L171" i="10"/>
  <c r="J171" i="10"/>
  <c r="L170" i="10"/>
  <c r="J170" i="10"/>
  <c r="L169" i="10"/>
  <c r="J169" i="10"/>
  <c r="L168" i="10"/>
  <c r="J168" i="10"/>
  <c r="L167" i="10"/>
  <c r="J167" i="10"/>
  <c r="L166" i="10"/>
  <c r="J166" i="10"/>
  <c r="L165" i="10"/>
  <c r="J165" i="10"/>
  <c r="L164" i="10"/>
  <c r="J164" i="10"/>
  <c r="L163" i="10"/>
  <c r="J163" i="10"/>
  <c r="L162" i="10"/>
  <c r="J162" i="10"/>
  <c r="L161" i="10"/>
  <c r="J161" i="10"/>
  <c r="L160" i="10"/>
  <c r="J160" i="10"/>
  <c r="L159" i="10"/>
  <c r="J159" i="10"/>
  <c r="L158" i="10"/>
  <c r="J158" i="10"/>
  <c r="L157" i="10"/>
  <c r="J157" i="10"/>
  <c r="L156" i="10"/>
  <c r="J156" i="10"/>
  <c r="L155" i="10"/>
  <c r="J155" i="10"/>
  <c r="L154" i="10"/>
  <c r="J154" i="10"/>
  <c r="L153" i="10"/>
  <c r="J153" i="10"/>
  <c r="L152" i="10"/>
  <c r="J152" i="10"/>
  <c r="L151" i="10"/>
  <c r="J151" i="10"/>
  <c r="L150" i="10"/>
  <c r="J150" i="10"/>
  <c r="L149" i="10"/>
  <c r="J149" i="10"/>
  <c r="L148" i="10"/>
  <c r="J148" i="10"/>
  <c r="L147" i="10"/>
  <c r="J147" i="10"/>
  <c r="L146" i="10"/>
  <c r="J146" i="10"/>
  <c r="L145" i="10"/>
  <c r="J145" i="10"/>
  <c r="L144" i="10"/>
  <c r="J144" i="10"/>
  <c r="L143" i="10"/>
  <c r="J143" i="10"/>
  <c r="L142" i="10"/>
  <c r="J142" i="10"/>
  <c r="L141" i="10"/>
  <c r="J141" i="10"/>
  <c r="L140" i="10"/>
  <c r="J140" i="10"/>
  <c r="L139" i="10"/>
  <c r="J139" i="10"/>
  <c r="L138" i="10"/>
  <c r="J138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31" i="10"/>
  <c r="J131" i="10"/>
  <c r="L130" i="10"/>
  <c r="J130" i="10"/>
  <c r="L129" i="10"/>
  <c r="J129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5" i="10"/>
  <c r="J115" i="10"/>
  <c r="L114" i="10"/>
  <c r="J114" i="10"/>
  <c r="L113" i="10"/>
  <c r="J113" i="10"/>
  <c r="L112" i="10"/>
  <c r="J112" i="10"/>
  <c r="L111" i="10"/>
  <c r="J111" i="10"/>
  <c r="L110" i="10"/>
  <c r="J110" i="10"/>
  <c r="L109" i="10"/>
  <c r="J109" i="10"/>
  <c r="L108" i="10"/>
  <c r="J108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9" i="10"/>
  <c r="J99" i="10"/>
  <c r="L98" i="10"/>
  <c r="J98" i="10"/>
  <c r="L97" i="10"/>
  <c r="J97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65" i="10"/>
  <c r="J65" i="10"/>
  <c r="L64" i="10"/>
  <c r="J64" i="10"/>
  <c r="L63" i="10"/>
  <c r="J63" i="10"/>
  <c r="L62" i="10"/>
  <c r="J62" i="10"/>
  <c r="L61" i="10"/>
  <c r="J61" i="10"/>
  <c r="L60" i="10"/>
  <c r="J60" i="10"/>
  <c r="L59" i="10"/>
  <c r="J59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9" i="10"/>
  <c r="J49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40" i="10"/>
  <c r="J40" i="10"/>
  <c r="L39" i="10"/>
  <c r="J39" i="10"/>
  <c r="L38" i="10"/>
  <c r="J38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6" i="10"/>
  <c r="J26" i="10"/>
  <c r="L25" i="10"/>
  <c r="J25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L13" i="10"/>
  <c r="J13" i="10"/>
  <c r="L12" i="10"/>
  <c r="J12" i="10"/>
  <c r="L11" i="10"/>
  <c r="J11" i="10"/>
  <c r="L10" i="10"/>
  <c r="J10" i="10"/>
  <c r="L9" i="10"/>
  <c r="J9" i="10"/>
  <c r="L8" i="10"/>
  <c r="J8" i="10"/>
  <c r="L7" i="10"/>
  <c r="J7" i="10"/>
  <c r="L6" i="10"/>
  <c r="J6" i="10"/>
  <c r="L5" i="10"/>
  <c r="J5" i="10"/>
  <c r="L4" i="10"/>
  <c r="J4" i="10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</calcChain>
</file>

<file path=xl/sharedStrings.xml><?xml version="1.0" encoding="utf-8"?>
<sst xmlns="http://schemas.openxmlformats.org/spreadsheetml/2006/main" count="801" uniqueCount="458">
  <si>
    <t>KG-MIS — Seed Data Collection Template (v1.1)</t>
  </si>
  <si>
    <t>Hybrid Market Intelligence System — Marketing &amp; Sales Department</t>
  </si>
  <si>
    <t>Purpose</t>
  </si>
  <si>
    <t>This workbook collects the initial (“seed”) reference data KG-MIS needs before go-live — users, the 8 Kerchanshe Group business groups, regions, outlets, products, customers, and competitors — plus the recurring field-data tabs (Weekly Sales, Market Visit Reports, Customer Interviews, Surveys &amp; Questionnaires) used until the live KG-MIS system is available. IT loads the seed data ahead of UAT; the recurring tabs feed Power BI dashboards and reconcile against D365FO (ERP) in the meantime.</t>
  </si>
  <si>
    <t>Who should fill this in</t>
  </si>
  <si>
    <t>Sales &amp; Marketing Department — coordinated by the Marketing Intelligence Officer (Tsegaye Nigusie), with input from regional/outlet leads for the Regions, Outlets, and Customers tabs.</t>
  </si>
  <si>
    <t>How to fill it in</t>
  </si>
  <si>
    <t>Each tab below is one data category. The header row is frozen. Row 4 on every tab is a highlighted SAMPLE row showing the expected format — delete it before submitting, or leave it and IT will ignore it. Enter one record per row starting from the row after the sample.</t>
  </si>
  <si>
    <t>Dropdowns</t>
  </si>
  <si>
    <t>Cells with a dropdown arrow (e.g. Role, Business Group) must be chosen from the provided list — please don't type a free-text value into those columns, so the data matches system codes exactly.</t>
  </si>
  <si>
    <t>Required columns</t>
  </si>
  <si>
    <t>Columns marked with * must not be left blank. Leave optional columns blank if unknown — don't guess.</t>
  </si>
  <si>
    <t>Returning this file</t>
  </si>
  <si>
    <t>Save and return this file to the Solution Author / IT Department (Solution Development) once complete. Contact the Marketing Intelligence Officer with any questions about what counts as a valid entry.</t>
  </si>
  <si>
    <t>Tabs in this workbook</t>
  </si>
  <si>
    <t>Users</t>
  </si>
  <si>
    <t>Everyone who needs a KG-MIS login, and their role</t>
  </si>
  <si>
    <t>Business Groups</t>
  </si>
  <si>
    <t>The 8 fixed Kerchanshe Group business groups — reference list, already filled in</t>
  </si>
  <si>
    <t>Market Visit Reports</t>
  </si>
  <si>
    <t>Field observations logged during outlet/market visits</t>
  </si>
  <si>
    <t>Regions</t>
  </si>
  <si>
    <t>Geographic regions KG-MIS operates in</t>
  </si>
  <si>
    <t>Outlets</t>
  </si>
  <si>
    <t>Market outlets/locations within each region</t>
  </si>
  <si>
    <t>Products</t>
  </si>
  <si>
    <t>Kerchanshe products to be tracked (normally synced from D365FO; provide for initial testing)</t>
  </si>
  <si>
    <t>Customers</t>
  </si>
  <si>
    <t>Distributors/customers to be tracked (normally synced from D365FO; provide for initial testing)</t>
  </si>
  <si>
    <t>Customer Interviews</t>
  </si>
  <si>
    <t>Structured interviews with customers and distributors</t>
  </si>
  <si>
    <t>Weekly Sales</t>
  </si>
  <si>
    <t>Recurring weekly sales entries by Business Group, Product, and Outlet — feeds Power BI dashboards and reconciles with D365FO</t>
  </si>
  <si>
    <t>Surveys &amp; Questionnaires</t>
  </si>
  <si>
    <t>Survey/questionnaire responses, one row per question answered</t>
  </si>
  <si>
    <t>Competitors</t>
  </si>
  <si>
    <t>Known competitors whose pricing will be tracked</t>
  </si>
  <si>
    <t>Row Check column</t>
  </si>
  <si>
    <t>Every data tab ends with a formula-driven 'Row Check' column, plus stop-alert validation on key fields (email format, positive quantities/prices, score ranges 1-5, Visit Status) that rejects an invalid typed value immediately rather than waiting for review — note this only catches typed entries, not pasted-in data. Row Check then flags any row red if a required (*) field is still blank or the row is a duplicate (matched on name, SKU, or email as appropriate); duplicates are flagged for review, never auto-deleted. Green 'OK' rows are clean. Market Visit Reports carries a Visit Status field (Draft/Submitted/Reviewed/Approved) so a visit isn't treated as final data until approved. None of this can sync live with other people's copies of this workbook — that real-time consolidation is a feature of the KG-MIS system itself once built, not of this Excel intake file.</t>
  </si>
  <si>
    <t>Legend</t>
  </si>
  <si>
    <t>Sample row — shows expected format; delete or leave, IT will skip it</t>
  </si>
  <si>
    <t>One row per person who needs a KG-MIS login (mapped to a CUAS identity and a role)</t>
  </si>
  <si>
    <t>Full Name*</t>
  </si>
  <si>
    <t>Email / CUAS Username*</t>
  </si>
  <si>
    <t>Phone</t>
  </si>
  <si>
    <t>Role*</t>
  </si>
  <si>
    <t>Assigned Region</t>
  </si>
  <si>
    <t>Assigned Outlet</t>
  </si>
  <si>
    <t>Notes</t>
  </si>
  <si>
    <t>Assigned Business Group</t>
  </si>
  <si>
    <t>Row Check</t>
  </si>
  <si>
    <t>Abebe Kebede</t>
  </si>
  <si>
    <t>abebe.kebede@kerchanshe.com</t>
  </si>
  <si>
    <t>+251 91 234 5678</t>
  </si>
  <si>
    <t>Field Officer</t>
  </si>
  <si>
    <t>Oromia</t>
  </si>
  <si>
    <t>Adama Central Outlet</t>
  </si>
  <si>
    <t>Field sales rep, Adama</t>
  </si>
  <si>
    <t>Buna Pen</t>
  </si>
  <si>
    <t>The 8 Kerchanshe Group business groups. This is a fixed corporate reference list — do not add or remove rows without confirming with the Marketing Intelligence Officer.</t>
  </si>
  <si>
    <t>Business Group Name*</t>
  </si>
  <si>
    <t>Code*</t>
  </si>
  <si>
    <t>Description</t>
  </si>
  <si>
    <t>Kerchanshe Coffee</t>
  </si>
  <si>
    <t>KCC</t>
  </si>
  <si>
    <t>Coffee growing, processing, and export</t>
  </si>
  <si>
    <t>Tractor</t>
  </si>
  <si>
    <t>TRC</t>
  </si>
  <si>
    <t>Agricultural tractors and equipment</t>
  </si>
  <si>
    <t>Geely Car</t>
  </si>
  <si>
    <t>GLC</t>
  </si>
  <si>
    <t>Geely passenger and electric vehicles</t>
  </si>
  <si>
    <t>BPN</t>
  </si>
  <si>
    <t>Writing instruments</t>
  </si>
  <si>
    <t>Buna Plate</t>
  </si>
  <si>
    <t>BPL</t>
  </si>
  <si>
    <t>Melamine tableware</t>
  </si>
  <si>
    <t>Bus</t>
  </si>
  <si>
    <t>BUS</t>
  </si>
  <si>
    <t>Bus / passenger transport vehicles</t>
  </si>
  <si>
    <t>Oro Meat</t>
  </si>
  <si>
    <t>ORM</t>
  </si>
  <si>
    <t>Meat processing and distribution</t>
  </si>
  <si>
    <t>Buna Paints</t>
  </si>
  <si>
    <t>BPT</t>
  </si>
  <si>
    <t>Paints and coatings</t>
  </si>
  <si>
    <t>Field observations logged during outlet/market visits. One row per visit. Visit Status tracks the review/approval workflow — a visit isn't treated as final data until it's Approved. Photos/videos aren't stored in Excel — log a filename or shared-drive link so they can be matched to this visit later.</t>
  </si>
  <si>
    <t>Visit Date*</t>
  </si>
  <si>
    <t>Field Officer*</t>
  </si>
  <si>
    <t>Business Group*</t>
  </si>
  <si>
    <t>Region*</t>
  </si>
  <si>
    <t>Outlet*</t>
  </si>
  <si>
    <t>Visit Type*</t>
  </si>
  <si>
    <t>Visit Status*</t>
  </si>
  <si>
    <t>Stock Level Observed</t>
  </si>
  <si>
    <t>Competitor Presence Noted</t>
  </si>
  <si>
    <t>Key Findings*</t>
  </si>
  <si>
    <t>Photo/Video Reference (filename or link)</t>
  </si>
  <si>
    <t>Follow-up Required?</t>
  </si>
  <si>
    <t>Market Visit</t>
  </si>
  <si>
    <t>Submitted</t>
  </si>
  <si>
    <t>In Stock</t>
  </si>
  <si>
    <t>Yes - Oromia Coffee Co. display seen</t>
  </si>
  <si>
    <t>Shelf space reduced vs last month; competitor added a promo endcap</t>
  </si>
  <si>
    <t>visits/2026-08-17_adama-central.jpg</t>
  </si>
  <si>
    <t>Yes</t>
  </si>
  <si>
    <t>Recommend follow-up on shelf placement</t>
  </si>
  <si>
    <t>Geographic regions KG-MIS operates in (used to group outlets and customers)</t>
  </si>
  <si>
    <t>Region Name*</t>
  </si>
  <si>
    <t>Country*</t>
  </si>
  <si>
    <t>Ethiopia</t>
  </si>
  <si>
    <t>Includes Adama, Jimma, Nekemte outlets</t>
  </si>
  <si>
    <t>Market outlets/locations within each region, visited or surveyed by field staff</t>
  </si>
  <si>
    <t>Outlet Name*</t>
  </si>
  <si>
    <t>Outlet Type</t>
  </si>
  <si>
    <t>Address / Location</t>
  </si>
  <si>
    <t>Contact Person</t>
  </si>
  <si>
    <t>Contact Phone</t>
  </si>
  <si>
    <t>Business Groups Present</t>
  </si>
  <si>
    <t>Retail</t>
  </si>
  <si>
    <t>Main St, Adama</t>
  </si>
  <si>
    <t>Fikru Tesfaye</t>
  </si>
  <si>
    <t>+251 91 111 2222</t>
  </si>
  <si>
    <t>High-traffic outlet</t>
  </si>
  <si>
    <t>Kerchanshe Coffee, Buna Pen</t>
  </si>
  <si>
    <t>Kerchanshe products to be tracked. Normally synced automatically from D365FO — fill this in only for initial testing/UAT before that sync is live.</t>
  </si>
  <si>
    <t>Product Name*</t>
  </si>
  <si>
    <t>Category*</t>
  </si>
  <si>
    <t>Product Code / SKU</t>
  </si>
  <si>
    <t>Unit of Measure</t>
  </si>
  <si>
    <t>Coffee – Washed</t>
  </si>
  <si>
    <t>Flagship retail product</t>
  </si>
  <si>
    <t>Distributors/customers to be tracked. Normally synced automatically from D365FO — fill this in only for initial testing/UAT before that sync is live.</t>
  </si>
  <si>
    <t>Customer / Distributor Name*</t>
  </si>
  <si>
    <t>Type</t>
  </si>
  <si>
    <t>Region</t>
  </si>
  <si>
    <t>Outlet</t>
  </si>
  <si>
    <t>Email</t>
  </si>
  <si>
    <t>Distributor</t>
  </si>
  <si>
    <t>Meron Alemu</t>
  </si>
  <si>
    <t>+251 91 333 4444</t>
  </si>
  <si>
    <t>Structured interviews with customers/distributors. One row per interview.</t>
  </si>
  <si>
    <t>Interview Date*</t>
  </si>
  <si>
    <t>Interviewer*</t>
  </si>
  <si>
    <t>Respondent Type*</t>
  </si>
  <si>
    <t>Respondent Name*</t>
  </si>
  <si>
    <t>Satisfaction Score (1-5)</t>
  </si>
  <si>
    <t>Sentiment</t>
  </si>
  <si>
    <t>Key Feedback / Themes*</t>
  </si>
  <si>
    <t>Positive</t>
  </si>
  <si>
    <t>Happy with delivery times; asked for wider pen color range</t>
  </si>
  <si>
    <t>Follow up with product team on color range request</t>
  </si>
  <si>
    <t>One row per Business Group / Product / Outlet combination, submitted weekly. This is the recurring input for the Weekly Sales Performance report and Power BI sales dashboards, and reconciles against D365FO sales postings. Product Code / SKU and Customer / Distributor should match the values used on the Products and Customers tabs exactly, so Power BI can join them.</t>
  </si>
  <si>
    <t>Week Ending*</t>
  </si>
  <si>
    <t>Product Code / SKU*</t>
  </si>
  <si>
    <t>Customer / Distributor</t>
  </si>
  <si>
    <t>Quantity Sold*</t>
  </si>
  <si>
    <t>Unit Price (ETB)*</t>
  </si>
  <si>
    <t>Revenue (ETB)</t>
  </si>
  <si>
    <t>Buna Classic Blue Pen</t>
  </si>
  <si>
    <t>BPN-CB-001</t>
  </si>
  <si>
    <t>Regular weekly restock order</t>
  </si>
  <si>
    <t>Structured questionnaire and survey responses, including audio-recorded interviews once transcribed — one row per question answered, so it stays a flat table for Power BI. Group rows by Response ID to reassemble a full survey response.</t>
  </si>
  <si>
    <t>Response ID*</t>
  </si>
  <si>
    <t>Response Date*</t>
  </si>
  <si>
    <t>Respondent Name</t>
  </si>
  <si>
    <t>Survey Name*</t>
  </si>
  <si>
    <t>Question*</t>
  </si>
  <si>
    <t>Answer / Response*</t>
  </si>
  <si>
    <t>Audio Recording Reference (filename or link)</t>
  </si>
  <si>
    <t>Score (1-5)</t>
  </si>
  <si>
    <t>SUR-2026-0001</t>
  </si>
  <si>
    <t>Customer</t>
  </si>
  <si>
    <t>Q3 2026 Customer Satisfaction Survey</t>
  </si>
  <si>
    <t>How satisfied are you with product quality?</t>
  </si>
  <si>
    <t>Very satisfied</t>
  </si>
  <si>
    <t>Mentioned melamine plates hold up well</t>
  </si>
  <si>
    <t>Known competitors whose pricing will be recorded and compared in the Competitor &amp; Pricing Module</t>
  </si>
  <si>
    <t>Competitor Name*</t>
  </si>
  <si>
    <t>Products / Categories Covered</t>
  </si>
  <si>
    <t>Regions Active In</t>
  </si>
  <si>
    <t>Washed Coffee, Natural Coffee</t>
  </si>
  <si>
    <t>Oromia, SNNPR</t>
  </si>
  <si>
    <t>Main regional competitor</t>
  </si>
  <si>
    <t>No</t>
  </si>
  <si>
    <t>SRD Alignment</t>
  </si>
  <si>
    <t>This v1.2 workbook extends the original seed-data format with SRD-aligned registers for scope requirements, competitor intelligence, alerts/risks, automated reports, dashboard KPIs, integrations, and multimedia evidence. Existing operational tabs are preserved.</t>
  </si>
  <si>
    <t>Status</t>
  </si>
  <si>
    <t>Medium</t>
  </si>
  <si>
    <t>Competitor &amp; Pricing Intelligence</t>
  </si>
  <si>
    <t>Recurring competitor observations. One row per competitor/product/outlet/date observation.</t>
  </si>
  <si>
    <t>Observation Date*</t>
  </si>
  <si>
    <t>Competitor*</t>
  </si>
  <si>
    <t>Competitor Product*</t>
  </si>
  <si>
    <t>Our Product</t>
  </si>
  <si>
    <t>Competitor Price (ETB)</t>
  </si>
  <si>
    <t>Our Price (ETB)</t>
  </si>
  <si>
    <t>Price Gap (ETB)</t>
  </si>
  <si>
    <t>Availability</t>
  </si>
  <si>
    <t>Promotion Observed</t>
  </si>
  <si>
    <t>Quality Observation</t>
  </si>
  <si>
    <t>Photo/Video Ref</t>
  </si>
  <si>
    <t>2026-08-19</t>
  </si>
  <si>
    <t>Sample Competitor</t>
  </si>
  <si>
    <t>Blue Pen</t>
  </si>
  <si>
    <t>Buy 10 Get 1</t>
  </si>
  <si>
    <t>Comparable</t>
  </si>
  <si>
    <t>competitor/sample.jpg</t>
  </si>
  <si>
    <t>SAMPLE - delete before submission</t>
  </si>
  <si>
    <t>Alerts, Risks &amp; Opportunities</t>
  </si>
  <si>
    <t>Tracks price gaps, stock shortages, declining sales, market risks and opportunities identified by KG-MIS.</t>
  </si>
  <si>
    <t>Alert ID*</t>
  </si>
  <si>
    <t>Alert Date*</t>
  </si>
  <si>
    <t>Alert Type*</t>
  </si>
  <si>
    <t>Severity*</t>
  </si>
  <si>
    <t>Trigger / Finding*</t>
  </si>
  <si>
    <t>Current Value</t>
  </si>
  <si>
    <t>Threshold / Benchmark</t>
  </si>
  <si>
    <t>Recommended Action</t>
  </si>
  <si>
    <t>Owner</t>
  </si>
  <si>
    <t>Status*</t>
  </si>
  <si>
    <t>Due Date</t>
  </si>
  <si>
    <t>Resolution Notes</t>
  </si>
  <si>
    <t>ALT-2026-0001</t>
  </si>
  <si>
    <t>Price Gap</t>
  </si>
  <si>
    <t>Competitor price exceeds our price by ETB 3</t>
  </si>
  <si>
    <t>3</t>
  </si>
  <si>
    <t>2</t>
  </si>
  <si>
    <t>Review pricing and promotion opportunity</t>
  </si>
  <si>
    <t>Marketing Intelligence</t>
  </si>
  <si>
    <t>Open</t>
  </si>
  <si>
    <t>2026-08-22</t>
  </si>
  <si>
    <t>SAMPLE</t>
  </si>
  <si>
    <t>Automated Reporting &amp; Report Catalogue</t>
  </si>
  <si>
    <t>Defines standard and scheduled KG-MIS outputs. Email schedules and recipients are finalized during SRS configuration.</t>
  </si>
  <si>
    <t>Report ID*</t>
  </si>
  <si>
    <t>Report Name*</t>
  </si>
  <si>
    <t>Report Type*</t>
  </si>
  <si>
    <t>Frequency</t>
  </si>
  <si>
    <t>Business Group Scope</t>
  </si>
  <si>
    <t>Primary Filters</t>
  </si>
  <si>
    <t>Output Format</t>
  </si>
  <si>
    <t>Scheduled Email?</t>
  </si>
  <si>
    <t>Management Recipient Group</t>
  </si>
  <si>
    <t>Data Source / Module</t>
  </si>
  <si>
    <t>RPT-001</t>
  </si>
  <si>
    <t>Market Visit Report</t>
  </si>
  <si>
    <t>Standard</t>
  </si>
  <si>
    <t>Weekly</t>
  </si>
  <si>
    <t>All</t>
  </si>
  <si>
    <t>BU, Region, Officer, Date</t>
  </si>
  <si>
    <t>PDF / Excel</t>
  </si>
  <si>
    <t>Management</t>
  </si>
  <si>
    <t>Active</t>
  </si>
  <si>
    <t>RPT-002</t>
  </si>
  <si>
    <t>Competitor Analysis Report</t>
  </si>
  <si>
    <t>Monthly</t>
  </si>
  <si>
    <t>BU, Region, Competitor, Product</t>
  </si>
  <si>
    <t>PDF / Excel / PPT-ready</t>
  </si>
  <si>
    <t>Competitor Intelligence</t>
  </si>
  <si>
    <t>RPT-003</t>
  </si>
  <si>
    <t>Customer Feedback Report</t>
  </si>
  <si>
    <t>BU, Region, Customer Type, Sentiment</t>
  </si>
  <si>
    <t>Customer Interviews / Surveys</t>
  </si>
  <si>
    <t>RPT-004</t>
  </si>
  <si>
    <t>Sales Performance Report</t>
  </si>
  <si>
    <t>Daily / Weekly / Monthly</t>
  </si>
  <si>
    <t>BU, Product, Region, Outlet, Period</t>
  </si>
  <si>
    <t>Weekly Sales / ERP</t>
  </si>
  <si>
    <t>Dashboard &amp; KPI Catalogue</t>
  </si>
  <si>
    <t>Defines the management KPIs and drill-down dimensions expected in Power BI/KG-MIS dashboards.</t>
  </si>
  <si>
    <t>KPI ID*</t>
  </si>
  <si>
    <t>KPI Name*</t>
  </si>
  <si>
    <t>Definition / Purpose*</t>
  </si>
  <si>
    <t>Primary Data Source</t>
  </si>
  <si>
    <t>Drill-down Dimensions</t>
  </si>
  <si>
    <t>Target / Benchmark</t>
  </si>
  <si>
    <t>KPI-001</t>
  </si>
  <si>
    <t>Sales Growth</t>
  </si>
  <si>
    <t>Sales</t>
  </si>
  <si>
    <t>Tracks sales change over selected period</t>
  </si>
  <si>
    <t>ERP / Weekly Sales</t>
  </si>
  <si>
    <t>Daily/Monthly</t>
  </si>
  <si>
    <t>BU, Region, City, Outlet, Product</t>
  </si>
  <si>
    <t>KPI-002</t>
  </si>
  <si>
    <t>Product Availability Rate</t>
  </si>
  <si>
    <t>Distribution</t>
  </si>
  <si>
    <t>Measures product availability across visited outlets</t>
  </si>
  <si>
    <t>KPI-003</t>
  </si>
  <si>
    <t>Competitor Price Gap</t>
  </si>
  <si>
    <t>Competitor</t>
  </si>
  <si>
    <t>Difference between our price and competitor price</t>
  </si>
  <si>
    <t>BU, Region, Outlet, Product, Competitor</t>
  </si>
  <si>
    <t>KPI-004</t>
  </si>
  <si>
    <t>Customer Satisfaction Score</t>
  </si>
  <si>
    <t>Average satisfaction score from interviews/surveys</t>
  </si>
  <si>
    <t>BU, Region, Customer Type</t>
  </si>
  <si>
    <t>KPI-005</t>
  </si>
  <si>
    <t>Regional Sales Performance</t>
  </si>
  <si>
    <t>Actual vs plan by geography</t>
  </si>
  <si>
    <t>BU, Country, Region, City, Outlet</t>
  </si>
  <si>
    <t>System Integration &amp; Data Exchange Map</t>
  </si>
  <si>
    <t>High-level integration register for SRS elaboration. Technical endpoints, credentials, protocols and mappings are owned by ERP &amp; Systems Development.</t>
  </si>
  <si>
    <t>Integration ID*</t>
  </si>
  <si>
    <t>Source System*</t>
  </si>
  <si>
    <t>Target System*</t>
  </si>
  <si>
    <t>Data Domain*</t>
  </si>
  <si>
    <t>Direction*</t>
  </si>
  <si>
    <t>Method / API</t>
  </si>
  <si>
    <t>Key Data Objects</t>
  </si>
  <si>
    <t>Security / Access Notes</t>
  </si>
  <si>
    <t>INT-001</t>
  </si>
  <si>
    <t>D365FO / ERP</t>
  </si>
  <si>
    <t>KG-MIS</t>
  </si>
  <si>
    <t>Sales / Inventory / Product / Pricing</t>
  </si>
  <si>
    <t>Inbound</t>
  </si>
  <si>
    <t>Scheduled / Near-real-time</t>
  </si>
  <si>
    <t>API / Approved integration</t>
  </si>
  <si>
    <t>Sales, stock, SKU, price</t>
  </si>
  <si>
    <t>ERP &amp; Systems Development</t>
  </si>
  <si>
    <t>Role/service-account controlled</t>
  </si>
  <si>
    <t>To Define in SRS</t>
  </si>
  <si>
    <t>INT-002</t>
  </si>
  <si>
    <t>Power BI</t>
  </si>
  <si>
    <t>Analytics Dataset</t>
  </si>
  <si>
    <t>Outbound</t>
  </si>
  <si>
    <t>SQL / BI connector</t>
  </si>
  <si>
    <t>Validated MI datasets</t>
  </si>
  <si>
    <t>Approved BI access</t>
  </si>
  <si>
    <t>INT-003</t>
  </si>
  <si>
    <t>CRM</t>
  </si>
  <si>
    <t>Customer / Distributor / Agent</t>
  </si>
  <si>
    <t>Bi-directional</t>
  </si>
  <si>
    <t>Scheduled</t>
  </si>
  <si>
    <t>Customer profiles, contacts, activity</t>
  </si>
  <si>
    <t>Role-based</t>
  </si>
  <si>
    <t>Multimedia Evidence Register</t>
  </si>
  <si>
    <t>Links field photos, videos and audio recordings to market visits, surveys, interviews and intelligence observations.</t>
  </si>
  <si>
    <t>Media ID*</t>
  </si>
  <si>
    <t>Capture Date*</t>
  </si>
  <si>
    <t>Related Module*</t>
  </si>
  <si>
    <t>Related Record ID*</t>
  </si>
  <si>
    <t>Media Type*</t>
  </si>
  <si>
    <t>Filename / Link*</t>
  </si>
  <si>
    <t>Tag / Category</t>
  </si>
  <si>
    <t>Captured By*</t>
  </si>
  <si>
    <t>Transcription Required?</t>
  </si>
  <si>
    <t>Transcription / Insight</t>
  </si>
  <si>
    <t>Validation Status</t>
  </si>
  <si>
    <t>MED-2026-0001</t>
  </si>
  <si>
    <t>VIS-2026-0001</t>
  </si>
  <si>
    <t>Photo</t>
  </si>
  <si>
    <t>visits/sample.jpg</t>
  </si>
  <si>
    <t>Merchandising</t>
  </si>
  <si>
    <t>Pending</t>
  </si>
  <si>
    <t xml:space="preserve">Amhara </t>
  </si>
  <si>
    <t xml:space="preserve">Sidama </t>
  </si>
  <si>
    <t>Central Ethiopia</t>
  </si>
  <si>
    <t>Gambella</t>
  </si>
  <si>
    <t>Afar</t>
  </si>
  <si>
    <t>Benishangul Gumuz</t>
  </si>
  <si>
    <t>Harari</t>
  </si>
  <si>
    <t>Addis Ababa</t>
  </si>
  <si>
    <t>Diredawa</t>
  </si>
  <si>
    <t>Somali</t>
  </si>
  <si>
    <t>Bahirdar</t>
  </si>
  <si>
    <t>Hawassa</t>
  </si>
  <si>
    <t>Hosaina</t>
  </si>
  <si>
    <t>Gabella</t>
  </si>
  <si>
    <t>Semera</t>
  </si>
  <si>
    <t>Assosa</t>
  </si>
  <si>
    <t>Harar</t>
  </si>
  <si>
    <t>DireDawa</t>
  </si>
  <si>
    <t xml:space="preserve">WholeSaler </t>
  </si>
  <si>
    <t>Meseret</t>
  </si>
  <si>
    <t>Mubarek</t>
  </si>
  <si>
    <t>Esmael</t>
  </si>
  <si>
    <t>Mabrat</t>
  </si>
  <si>
    <t>Muluken</t>
  </si>
  <si>
    <t>Abraham</t>
  </si>
  <si>
    <t>Addis Ababa, Mercato</t>
  </si>
  <si>
    <t>Kedrella</t>
  </si>
  <si>
    <t>Keffele</t>
  </si>
  <si>
    <t xml:space="preserve">Haile </t>
  </si>
  <si>
    <t>Macromic</t>
  </si>
  <si>
    <t>Geely Ex5, Ex2</t>
  </si>
  <si>
    <t>Blue Pen, Black Pen, Red Pen</t>
  </si>
  <si>
    <t>All Dish Plate</t>
  </si>
  <si>
    <t>Ekka Bus</t>
  </si>
  <si>
    <t>Processed Meat</t>
  </si>
  <si>
    <t>Numbers</t>
  </si>
  <si>
    <t>Ton</t>
  </si>
  <si>
    <t>Liters</t>
  </si>
  <si>
    <t>Kerchanshe Tractor</t>
  </si>
  <si>
    <t>Oro meat</t>
  </si>
  <si>
    <t>Starbuck</t>
  </si>
  <si>
    <t>All over the World</t>
  </si>
  <si>
    <t>Capital cities</t>
  </si>
  <si>
    <t>Mubarak</t>
  </si>
  <si>
    <t xml:space="preserve">Mabrat </t>
  </si>
  <si>
    <t>Muleken</t>
  </si>
  <si>
    <t>Gebrehiwot</t>
  </si>
  <si>
    <t>Distributer</t>
  </si>
  <si>
    <t xml:space="preserve">Bahirdar </t>
  </si>
  <si>
    <t>Mekelle</t>
  </si>
  <si>
    <t xml:space="preserve">Mercato </t>
  </si>
  <si>
    <t>Tracon Trading.</t>
  </si>
  <si>
    <t>Des</t>
  </si>
  <si>
    <t>Antiline</t>
  </si>
  <si>
    <t>BY</t>
  </si>
  <si>
    <t xml:space="preserve">STAR </t>
  </si>
  <si>
    <t>HUADA</t>
  </si>
  <si>
    <t>Camel</t>
  </si>
  <si>
    <t>ITAI</t>
  </si>
  <si>
    <t>Dining Plate</t>
  </si>
  <si>
    <t>All Regions</t>
  </si>
  <si>
    <t>BIC</t>
  </si>
  <si>
    <t>Lexi</t>
  </si>
  <si>
    <t xml:space="preserve"> Radius</t>
  </si>
  <si>
    <t>Nano</t>
  </si>
  <si>
    <t xml:space="preserve">Writing Instruments </t>
  </si>
  <si>
    <t>BunaPen</t>
  </si>
  <si>
    <t>Mercato</t>
  </si>
  <si>
    <t>KB 21105</t>
  </si>
  <si>
    <t>All type</t>
  </si>
  <si>
    <t>2026-08-20</t>
  </si>
  <si>
    <t>Sinan Tolaa</t>
  </si>
  <si>
    <t>2026-08-21</t>
  </si>
  <si>
    <t>2026-08-23</t>
  </si>
  <si>
    <t>2026-08-24</t>
  </si>
  <si>
    <t>Tigray</t>
  </si>
  <si>
    <t>Sidama</t>
  </si>
  <si>
    <t>BM 1</t>
  </si>
  <si>
    <t>KB10055</t>
  </si>
  <si>
    <t>BP-5</t>
  </si>
  <si>
    <t>KB1107</t>
  </si>
  <si>
    <t>B</t>
  </si>
  <si>
    <t>normal</t>
  </si>
  <si>
    <t>Adama Shop</t>
  </si>
  <si>
    <t>Red Pen</t>
  </si>
  <si>
    <t>BPN-CB-002</t>
  </si>
  <si>
    <t>Black Pen</t>
  </si>
  <si>
    <t>Hawassa Shop</t>
  </si>
  <si>
    <t>Mekelle Shop</t>
  </si>
  <si>
    <t>Haile</t>
  </si>
  <si>
    <t>Bisrat</t>
  </si>
  <si>
    <t>Hawassa Agent</t>
  </si>
  <si>
    <t>Mercato Agent</t>
  </si>
  <si>
    <t>Meserrt</t>
  </si>
  <si>
    <t>Ashraq</t>
  </si>
  <si>
    <t>Kefelle</t>
  </si>
  <si>
    <t>kedrella</t>
  </si>
  <si>
    <t>ashraq</t>
  </si>
  <si>
    <t>kefelle</t>
  </si>
  <si>
    <t>haile</t>
  </si>
  <si>
    <t>Coffee</t>
  </si>
  <si>
    <t>KCG-WC</t>
  </si>
  <si>
    <t>Bag/Kg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</si>
</sst>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</numFmts>
  <fonts count="36" x14ac:knownFonts="1">
    <font>
      <sz val="11"/>
      <color theme="1"/>
      <name val="Calibri"/>
    </font>
    <font>
      <sz val="10"/>
      <name val="Arial"/>
      <family val="2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1F4E79"/>
      <name val="Arial"/>
      <family val="2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7F6000"/>
      <name val="Arial"/>
      <family val="2"/>
    </font>
    <font>
      <sz val="11"/>
      <color rgb="FF7F6000"/>
      <name val="Arial"/>
      <family val="2"/>
    </font>
    <font>
      <sz val="11"/>
      <color rgb="FF595959"/>
      <name val="Arial"/>
      <family val="2"/>
    </font>
    <font>
      <b/>
      <sz val="16"/>
      <color rgb="FFFFFFFF"/>
      <name val="Calibri"/>
      <family val="2"/>
    </font>
    <font>
      <i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Calibri"/>
      <family val="2"/>
    </font>
    <font>
      <sz val="11"/>
      <name val="Times New Roman"/>
      <family val="1"/>
    </font>
    <font>
      <b/>
      <sz val="11"/>
      <color rgb="FF1F4E79"/>
      <name val="Times New Roman"/>
      <family val="1"/>
    </font>
    <font>
      <b/>
      <sz val="11"/>
      <color rgb="FF17365D"/>
      <name val="Times New Roman"/>
      <family val="1"/>
    </font>
    <font>
      <i/>
      <sz val="11"/>
      <color rgb="FF595959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rgb="FF7F6000"/>
      <name val="Times New Roman"/>
      <family val="1"/>
    </font>
    <font>
      <b/>
      <sz val="12"/>
      <color rgb="FFFFFFFF"/>
      <name val="Times New Roman"/>
      <family val="1"/>
    </font>
    <font>
      <sz val="12"/>
      <color rgb="FF7F6000"/>
      <name val="Times New Roman"/>
      <family val="1"/>
    </font>
    <font>
      <i/>
      <sz val="11"/>
      <color rgb="FF7F6000"/>
      <name val="Times New Roman"/>
      <family val="1"/>
    </font>
    <font>
      <b/>
      <sz val="12"/>
      <name val="Times New Roman"/>
      <family val="1"/>
    </font>
    <font>
      <i/>
      <sz val="12"/>
      <color rgb="FF7F6000"/>
      <name val="Times New Roman"/>
      <family val="1"/>
    </font>
    <font>
      <sz val="12"/>
      <color theme="1"/>
      <name val="Times New Roman"/>
      <family val="1"/>
    </font>
    <font>
      <b/>
      <sz val="12"/>
      <color rgb="FF1F4E79"/>
      <name val="Times New Roman"/>
      <family val="1"/>
    </font>
    <font>
      <sz val="12"/>
      <color rgb="FF595959"/>
      <name val="Times New Roman"/>
      <family val="1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17365D"/>
      </patternFill>
    </fill>
    <fill>
      <patternFill patternType="solid">
        <fgColor rgb="FFDDEFEF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77">
    <xf numFmtId="0" fontId="0" fillId="0" borderId="0" xfId="0"/>
    <xf numFmtId="0" fontId="0" fillId="0" borderId="0" xfId="0" applyAlignment="1"/>
    <xf numFmtId="0" fontId="4" fillId="0" borderId="0" xfId="0" applyFont="1" applyAlignment="1"/>
    <xf numFmtId="0" fontId="10" fillId="2" borderId="1" xfId="0" applyFont="1" applyFill="1" applyBorder="1" applyAlignment="1"/>
    <xf numFmtId="0" fontId="11" fillId="2" borderId="0" xfId="0" applyFont="1" applyFill="1" applyAlignment="1"/>
    <xf numFmtId="0" fontId="5" fillId="0" borderId="1" xfId="0" applyFont="1" applyBorder="1" applyAlignment="1"/>
    <xf numFmtId="0" fontId="12" fillId="0" borderId="0" xfId="0" applyFont="1" applyAlignment="1"/>
    <xf numFmtId="164" fontId="0" fillId="0" borderId="0" xfId="0" applyNumberFormat="1" applyAlignment="1"/>
    <xf numFmtId="3" fontId="0" fillId="0" borderId="0" xfId="0" applyNumberFormat="1" applyAlignment="1"/>
    <xf numFmtId="0" fontId="0" fillId="0" borderId="0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15" fillId="6" borderId="3" xfId="0" applyNumberFormat="1" applyFont="1" applyFill="1" applyBorder="1" applyAlignment="1">
      <alignment horizontal="center" wrapText="1"/>
    </xf>
    <xf numFmtId="0" fontId="0" fillId="6" borderId="0" xfId="0" applyFill="1"/>
    <xf numFmtId="0" fontId="15" fillId="6" borderId="0" xfId="0" applyNumberFormat="1" applyFont="1" applyFill="1" applyBorder="1" applyAlignment="1">
      <alignment horizontal="center" wrapText="1"/>
    </xf>
    <xf numFmtId="0" fontId="17" fillId="0" borderId="3" xfId="0" applyFont="1" applyBorder="1" applyAlignment="1"/>
    <xf numFmtId="0" fontId="6" fillId="7" borderId="0" xfId="0" applyFont="1" applyFill="1" applyAlignment="1"/>
    <xf numFmtId="0" fontId="0" fillId="7" borderId="0" xfId="0" applyFill="1" applyAlignment="1"/>
    <xf numFmtId="0" fontId="0" fillId="7" borderId="0" xfId="0" applyFill="1"/>
    <xf numFmtId="0" fontId="9" fillId="8" borderId="0" xfId="0" applyFont="1" applyFill="1" applyAlignment="1"/>
    <xf numFmtId="0" fontId="0" fillId="8" borderId="0" xfId="0" applyFill="1"/>
    <xf numFmtId="0" fontId="8" fillId="8" borderId="1" xfId="0" applyFont="1" applyFill="1" applyBorder="1" applyAlignment="1">
      <alignment vertical="center" wrapText="1"/>
    </xf>
    <xf numFmtId="0" fontId="19" fillId="7" borderId="0" xfId="0" applyFont="1" applyFill="1"/>
    <xf numFmtId="0" fontId="20" fillId="0" borderId="3" xfId="0" applyFont="1" applyBorder="1" applyAlignment="1">
      <alignment vertical="top" wrapText="1"/>
    </xf>
    <xf numFmtId="0" fontId="21" fillId="0" borderId="3" xfId="0" applyFont="1" applyBorder="1" applyAlignment="1"/>
    <xf numFmtId="0" fontId="20" fillId="0" borderId="3" xfId="0" applyFont="1" applyBorder="1" applyAlignment="1"/>
    <xf numFmtId="0" fontId="17" fillId="2" borderId="3" xfId="0" applyFont="1" applyFill="1" applyBorder="1" applyAlignment="1"/>
    <xf numFmtId="0" fontId="22" fillId="5" borderId="3" xfId="0" applyNumberFormat="1" applyFont="1" applyFill="1" applyBorder="1" applyAlignment="1">
      <alignment wrapText="1"/>
    </xf>
    <xf numFmtId="0" fontId="21" fillId="0" borderId="3" xfId="0" applyFont="1" applyBorder="1" applyAlignment="1">
      <alignment vertical="top" wrapText="1"/>
    </xf>
    <xf numFmtId="0" fontId="24" fillId="0" borderId="3" xfId="0" applyFont="1" applyBorder="1" applyAlignment="1"/>
    <xf numFmtId="0" fontId="4" fillId="0" borderId="3" xfId="0" applyFont="1" applyBorder="1" applyAlignment="1"/>
    <xf numFmtId="0" fontId="25" fillId="0" borderId="3" xfId="0" applyFont="1" applyBorder="1" applyAlignment="1"/>
    <xf numFmtId="0" fontId="11" fillId="2" borderId="3" xfId="0" applyFont="1" applyFill="1" applyBorder="1" applyAlignment="1"/>
    <xf numFmtId="0" fontId="26" fillId="2" borderId="3" xfId="0" applyFont="1" applyFill="1" applyBorder="1" applyAlignment="1"/>
    <xf numFmtId="0" fontId="27" fillId="3" borderId="3" xfId="0" applyFont="1" applyFill="1" applyBorder="1" applyAlignment="1"/>
    <xf numFmtId="164" fontId="28" fillId="2" borderId="3" xfId="0" applyNumberFormat="1" applyFont="1" applyFill="1" applyBorder="1" applyAlignment="1"/>
    <xf numFmtId="0" fontId="28" fillId="2" borderId="3" xfId="0" applyFont="1" applyFill="1" applyBorder="1" applyAlignment="1"/>
    <xf numFmtId="0" fontId="5" fillId="0" borderId="4" xfId="0" applyFont="1" applyBorder="1" applyAlignment="1"/>
    <xf numFmtId="0" fontId="29" fillId="2" borderId="3" xfId="0" applyFont="1" applyFill="1" applyBorder="1" applyAlignment="1"/>
    <xf numFmtId="0" fontId="30" fillId="7" borderId="3" xfId="0" applyFont="1" applyFill="1" applyBorder="1" applyAlignment="1">
      <alignment vertical="center" wrapText="1"/>
    </xf>
    <xf numFmtId="0" fontId="31" fillId="2" borderId="3" xfId="0" applyFont="1" applyFill="1" applyBorder="1" applyAlignment="1"/>
    <xf numFmtId="0" fontId="18" fillId="7" borderId="3" xfId="0" applyFont="1" applyFill="1" applyBorder="1" applyAlignment="1"/>
    <xf numFmtId="0" fontId="16" fillId="8" borderId="3" xfId="0" applyFont="1" applyFill="1" applyBorder="1" applyAlignment="1">
      <alignment vertical="center" wrapText="1"/>
    </xf>
    <xf numFmtId="0" fontId="27" fillId="8" borderId="3" xfId="0" applyFont="1" applyFill="1" applyBorder="1" applyAlignment="1">
      <alignment vertical="center" wrapText="1"/>
    </xf>
    <xf numFmtId="0" fontId="27" fillId="8" borderId="5" xfId="0" applyFont="1" applyFill="1" applyBorder="1" applyAlignment="1">
      <alignment vertical="center" wrapText="1"/>
    </xf>
    <xf numFmtId="0" fontId="31" fillId="2" borderId="5" xfId="0" applyFont="1" applyFill="1" applyBorder="1" applyAlignment="1"/>
    <xf numFmtId="0" fontId="25" fillId="0" borderId="5" xfId="0" applyFont="1" applyBorder="1" applyAlignment="1"/>
    <xf numFmtId="0" fontId="16" fillId="8" borderId="3" xfId="0" applyFont="1" applyFill="1" applyBorder="1" applyAlignment="1"/>
    <xf numFmtId="0" fontId="32" fillId="7" borderId="3" xfId="0" applyFont="1" applyFill="1" applyBorder="1" applyAlignment="1"/>
    <xf numFmtId="0" fontId="32" fillId="0" borderId="3" xfId="0" applyFont="1" applyBorder="1" applyAlignment="1"/>
    <xf numFmtId="0" fontId="27" fillId="8" borderId="3" xfId="0" applyFont="1" applyFill="1" applyBorder="1" applyAlignment="1"/>
    <xf numFmtId="0" fontId="0" fillId="0" borderId="2" xfId="0" applyBorder="1" applyAlignment="1"/>
    <xf numFmtId="0" fontId="4" fillId="0" borderId="2" xfId="0" applyFont="1" applyBorder="1" applyAlignment="1"/>
    <xf numFmtId="0" fontId="33" fillId="7" borderId="3" xfId="0" applyFont="1" applyFill="1" applyBorder="1" applyAlignment="1"/>
    <xf numFmtId="0" fontId="34" fillId="0" borderId="3" xfId="0" applyFont="1" applyBorder="1" applyAlignment="1"/>
    <xf numFmtId="3" fontId="28" fillId="2" borderId="3" xfId="0" applyNumberFormat="1" applyFont="1" applyFill="1" applyBorder="1" applyAlignment="1"/>
    <xf numFmtId="164" fontId="32" fillId="0" borderId="3" xfId="0" applyNumberFormat="1" applyFont="1" applyBorder="1" applyAlignment="1"/>
    <xf numFmtId="3" fontId="32" fillId="0" borderId="3" xfId="0" applyNumberFormat="1" applyFont="1" applyBorder="1" applyAlignment="1"/>
    <xf numFmtId="0" fontId="27" fillId="6" borderId="3" xfId="0" applyFont="1" applyFill="1" applyBorder="1" applyAlignment="1"/>
    <xf numFmtId="0" fontId="27" fillId="6" borderId="3" xfId="0" applyFont="1" applyFill="1" applyBorder="1" applyAlignment="1">
      <alignment vertical="center" wrapText="1"/>
    </xf>
    <xf numFmtId="0" fontId="32" fillId="0" borderId="3" xfId="0" applyNumberFormat="1" applyFont="1" applyFill="1" applyBorder="1" applyAlignment="1">
      <alignment wrapText="1"/>
    </xf>
    <xf numFmtId="0" fontId="32" fillId="0" borderId="3" xfId="0" applyFont="1" applyBorder="1"/>
    <xf numFmtId="0" fontId="27" fillId="6" borderId="3" xfId="0" applyNumberFormat="1" applyFont="1" applyFill="1" applyBorder="1" applyAlignment="1">
      <alignment horizontal="center" wrapText="1"/>
    </xf>
    <xf numFmtId="0" fontId="27" fillId="8" borderId="3" xfId="0" applyNumberFormat="1" applyFont="1" applyFill="1" applyBorder="1" applyAlignment="1">
      <alignment horizontal="center" wrapText="1"/>
    </xf>
    <xf numFmtId="0" fontId="20" fillId="0" borderId="4" xfId="0" applyFont="1" applyBorder="1" applyAlignment="1"/>
    <xf numFmtId="0" fontId="20" fillId="0" borderId="1" xfId="0" applyFont="1" applyBorder="1" applyAlignment="1"/>
    <xf numFmtId="0" fontId="20" fillId="0" borderId="2" xfId="0" applyFont="1" applyBorder="1" applyAlignment="1"/>
    <xf numFmtId="0" fontId="2" fillId="7" borderId="0" xfId="0" applyFont="1" applyFill="1" applyBorder="1" applyAlignment="1"/>
    <xf numFmtId="0" fontId="23" fillId="0" borderId="3" xfId="0" applyFont="1" applyBorder="1" applyAlignment="1"/>
    <xf numFmtId="0" fontId="7" fillId="7" borderId="0" xfId="0" applyFont="1" applyFill="1" applyBorder="1" applyAlignment="1"/>
    <xf numFmtId="0" fontId="3" fillId="0" borderId="0" xfId="0" applyFont="1" applyBorder="1" applyAlignment="1"/>
    <xf numFmtId="0" fontId="7" fillId="7" borderId="2" xfId="0" applyFont="1" applyFill="1" applyBorder="1" applyAlignment="1"/>
    <xf numFmtId="0" fontId="3" fillId="0" borderId="2" xfId="0" applyFont="1" applyBorder="1" applyAlignment="1"/>
    <xf numFmtId="0" fontId="7" fillId="0" borderId="0" xfId="0" applyFont="1" applyBorder="1" applyAlignment="1"/>
    <xf numFmtId="0" fontId="13" fillId="6" borderId="0" xfId="0" applyNumberFormat="1" applyFont="1" applyFill="1" applyBorder="1" applyAlignment="1">
      <alignment vertical="center" wrapText="1"/>
    </xf>
    <xf numFmtId="0" fontId="14" fillId="5" borderId="0" xfId="0" applyNumberFormat="1" applyFont="1" applyFill="1" applyBorder="1" applyAlignment="1">
      <alignment wrapText="1"/>
    </xf>
    <xf numFmtId="0" fontId="13" fillId="4" borderId="0" xfId="0" applyNumberFormat="1" applyFont="1" applyFill="1" applyBorder="1" applyAlignment="1">
      <alignment vertical="center" wrapText="1"/>
    </xf>
    <xf numFmtId="0" fontId="13" fillId="7" borderId="0" xfId="0" applyNumberFormat="1" applyFont="1" applyFill="1" applyBorder="1" applyAlignment="1">
      <alignment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workbookViewId="0">
      <selection activeCell="A19" sqref="A19:A21"/>
    </sheetView>
  </sheetViews>
  <sheetFormatPr defaultColWidth="8.54296875" defaultRowHeight="14.5" x14ac:dyDescent="0.35"/>
  <cols>
    <col min="1" max="1" width="28" style="1" customWidth="1"/>
    <col min="2" max="2" width="103.1796875" style="1" customWidth="1"/>
  </cols>
  <sheetData>
    <row r="1" spans="1:2" s="17" customFormat="1" ht="25.5" customHeight="1" x14ac:dyDescent="0.4">
      <c r="A1" s="66" t="s">
        <v>0</v>
      </c>
      <c r="B1" s="66"/>
    </row>
    <row r="2" spans="1:2" ht="18" customHeight="1" x14ac:dyDescent="0.35">
      <c r="A2" s="67" t="s">
        <v>1</v>
      </c>
      <c r="B2" s="67"/>
    </row>
    <row r="3" spans="1:2" ht="30" customHeight="1" x14ac:dyDescent="0.35">
      <c r="A3" s="14"/>
      <c r="B3" s="14"/>
    </row>
    <row r="4" spans="1:2" ht="86.25" customHeight="1" x14ac:dyDescent="0.35">
      <c r="A4" s="27" t="s">
        <v>2</v>
      </c>
      <c r="B4" s="22" t="s">
        <v>3</v>
      </c>
    </row>
    <row r="5" spans="1:2" ht="48" customHeight="1" x14ac:dyDescent="0.35">
      <c r="A5" s="27" t="s">
        <v>4</v>
      </c>
      <c r="B5" s="22" t="s">
        <v>5</v>
      </c>
    </row>
    <row r="6" spans="1:2" ht="48" customHeight="1" x14ac:dyDescent="0.35">
      <c r="A6" s="27" t="s">
        <v>6</v>
      </c>
      <c r="B6" s="22" t="s">
        <v>7</v>
      </c>
    </row>
    <row r="7" spans="1:2" ht="48" customHeight="1" x14ac:dyDescent="0.35">
      <c r="A7" s="27" t="s">
        <v>8</v>
      </c>
      <c r="B7" s="22" t="s">
        <v>9</v>
      </c>
    </row>
    <row r="8" spans="1:2" ht="48" customHeight="1" x14ac:dyDescent="0.35">
      <c r="A8" s="27" t="s">
        <v>10</v>
      </c>
      <c r="B8" s="22" t="s">
        <v>11</v>
      </c>
    </row>
    <row r="9" spans="1:2" ht="48" customHeight="1" x14ac:dyDescent="0.35">
      <c r="A9" s="27" t="s">
        <v>12</v>
      </c>
      <c r="B9" s="22" t="s">
        <v>13</v>
      </c>
    </row>
    <row r="10" spans="1:2" x14ac:dyDescent="0.35">
      <c r="A10" s="14"/>
      <c r="B10" s="14"/>
    </row>
    <row r="11" spans="1:2" ht="15" customHeight="1" x14ac:dyDescent="0.35">
      <c r="A11" s="23" t="s">
        <v>14</v>
      </c>
      <c r="B11" s="14"/>
    </row>
    <row r="12" spans="1:2" ht="15" customHeight="1" x14ac:dyDescent="0.35">
      <c r="A12" s="28" t="s">
        <v>15</v>
      </c>
      <c r="B12" s="24" t="s">
        <v>16</v>
      </c>
    </row>
    <row r="13" spans="1:2" ht="15" customHeight="1" x14ac:dyDescent="0.35">
      <c r="A13" s="23" t="s">
        <v>17</v>
      </c>
      <c r="B13" s="24" t="s">
        <v>18</v>
      </c>
    </row>
    <row r="14" spans="1:2" ht="15" customHeight="1" x14ac:dyDescent="0.35">
      <c r="A14" s="23" t="s">
        <v>19</v>
      </c>
      <c r="B14" s="24" t="s">
        <v>20</v>
      </c>
    </row>
    <row r="15" spans="1:2" ht="15" customHeight="1" x14ac:dyDescent="0.35">
      <c r="A15" s="28" t="s">
        <v>21</v>
      </c>
      <c r="B15" s="24" t="s">
        <v>22</v>
      </c>
    </row>
    <row r="16" spans="1:2" ht="15" customHeight="1" x14ac:dyDescent="0.35">
      <c r="A16" s="28" t="s">
        <v>23</v>
      </c>
      <c r="B16" s="24" t="s">
        <v>24</v>
      </c>
    </row>
    <row r="17" spans="1:2" ht="15" customHeight="1" x14ac:dyDescent="0.35">
      <c r="A17" s="28" t="s">
        <v>25</v>
      </c>
      <c r="B17" s="24" t="s">
        <v>26</v>
      </c>
    </row>
    <row r="18" spans="1:2" ht="15" customHeight="1" x14ac:dyDescent="0.35">
      <c r="A18" s="28" t="s">
        <v>27</v>
      </c>
      <c r="B18" s="24" t="s">
        <v>28</v>
      </c>
    </row>
    <row r="19" spans="1:2" ht="15" customHeight="1" x14ac:dyDescent="0.35">
      <c r="A19" s="23" t="s">
        <v>29</v>
      </c>
      <c r="B19" s="24" t="s">
        <v>30</v>
      </c>
    </row>
    <row r="20" spans="1:2" ht="15" customHeight="1" x14ac:dyDescent="0.35">
      <c r="A20" s="23" t="s">
        <v>31</v>
      </c>
      <c r="B20" s="24" t="s">
        <v>32</v>
      </c>
    </row>
    <row r="21" spans="1:2" ht="15" customHeight="1" x14ac:dyDescent="0.35">
      <c r="A21" s="23" t="s">
        <v>33</v>
      </c>
      <c r="B21" s="24" t="s">
        <v>34</v>
      </c>
    </row>
    <row r="22" spans="1:2" ht="15" customHeight="1" x14ac:dyDescent="0.35">
      <c r="A22" s="28" t="s">
        <v>35</v>
      </c>
      <c r="B22" s="24" t="s">
        <v>36</v>
      </c>
    </row>
    <row r="23" spans="1:2" ht="15" customHeight="1" x14ac:dyDescent="0.35">
      <c r="A23" s="14"/>
      <c r="B23" s="14"/>
    </row>
    <row r="24" spans="1:2" ht="15" customHeight="1" x14ac:dyDescent="0.35">
      <c r="A24" s="23" t="s">
        <v>37</v>
      </c>
      <c r="B24" s="24" t="s">
        <v>38</v>
      </c>
    </row>
    <row r="25" spans="1:2" ht="15" customHeight="1" x14ac:dyDescent="0.35">
      <c r="A25" s="23" t="s">
        <v>39</v>
      </c>
      <c r="B25" s="14"/>
    </row>
    <row r="26" spans="1:2" ht="15" customHeight="1" x14ac:dyDescent="0.35">
      <c r="A26" s="25"/>
      <c r="B26" s="24" t="s">
        <v>40</v>
      </c>
    </row>
    <row r="27" spans="1:2" x14ac:dyDescent="0.35">
      <c r="A27" s="14"/>
      <c r="B27" s="14"/>
    </row>
    <row r="28" spans="1:2" ht="42.5" x14ac:dyDescent="0.35">
      <c r="A28" s="26" t="s">
        <v>185</v>
      </c>
      <c r="B28" s="26" t="s">
        <v>186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showGridLines="0" workbookViewId="0">
      <selection activeCell="A5" sqref="A5"/>
    </sheetView>
  </sheetViews>
  <sheetFormatPr defaultColWidth="8.54296875" defaultRowHeight="14.5" x14ac:dyDescent="0.35"/>
  <cols>
    <col min="1" max="1" width="22" style="1" customWidth="1"/>
    <col min="2" max="2" width="28" style="1" customWidth="1"/>
    <col min="3" max="3" width="16" style="1" customWidth="1"/>
    <col min="4" max="4" width="20" style="1" customWidth="1"/>
    <col min="5" max="5" width="18" style="1" customWidth="1"/>
    <col min="6" max="6" width="22" style="1" customWidth="1"/>
    <col min="7" max="7" width="30" style="1" customWidth="1"/>
    <col min="8" max="8" width="22" style="1" customWidth="1"/>
    <col min="9" max="9" width="32" style="1" customWidth="1"/>
  </cols>
  <sheetData>
    <row r="1" spans="1:9" s="17" customFormat="1" ht="21.75" customHeight="1" x14ac:dyDescent="0.4">
      <c r="A1" s="68" t="s">
        <v>15</v>
      </c>
      <c r="B1" s="68"/>
      <c r="C1" s="68"/>
      <c r="D1" s="68"/>
      <c r="E1" s="68"/>
      <c r="F1" s="68"/>
      <c r="G1" s="68"/>
      <c r="H1" s="16"/>
      <c r="I1" s="16"/>
    </row>
    <row r="2" spans="1:9" ht="15.75" customHeight="1" x14ac:dyDescent="0.35">
      <c r="A2" s="69" t="s">
        <v>41</v>
      </c>
      <c r="B2" s="69"/>
      <c r="C2" s="69"/>
      <c r="D2" s="69"/>
      <c r="E2" s="69"/>
      <c r="F2" s="69"/>
      <c r="G2" s="69"/>
    </row>
    <row r="3" spans="1:9" s="19" customFormat="1" ht="30" customHeight="1" x14ac:dyDescent="0.35">
      <c r="A3" s="20" t="s">
        <v>42</v>
      </c>
      <c r="B3" s="20" t="s">
        <v>43</v>
      </c>
      <c r="C3" s="20" t="s">
        <v>44</v>
      </c>
      <c r="D3" s="20" t="s">
        <v>45</v>
      </c>
      <c r="E3" s="20" t="s">
        <v>46</v>
      </c>
      <c r="F3" s="20" t="s">
        <v>47</v>
      </c>
      <c r="G3" s="20" t="s">
        <v>48</v>
      </c>
      <c r="H3" s="18" t="s">
        <v>49</v>
      </c>
      <c r="I3" s="18" t="s">
        <v>50</v>
      </c>
    </row>
    <row r="4" spans="1:9" ht="15" customHeight="1" x14ac:dyDescent="0.3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4" t="s">
        <v>58</v>
      </c>
      <c r="I4" s="4" t="str">
        <f t="shared" ref="I4:I35" si="0">IF($A4="","",IF(OR($A4="",$B4="",$D4=""),"Missing required field",IF(ISERROR(FIND("@",$B4)),"Invalid email format",IF(COUNTIF($B$4:$B$200,$B4)&gt;1,"Duplicate email","OK"))))</f>
        <v>OK</v>
      </c>
    </row>
    <row r="5" spans="1:9" ht="15" customHeight="1" x14ac:dyDescent="0.35">
      <c r="A5" s="5"/>
      <c r="B5" s="5"/>
      <c r="C5" s="5"/>
      <c r="D5" s="5"/>
      <c r="E5" s="5"/>
      <c r="F5" s="5"/>
      <c r="G5" s="5"/>
      <c r="I5" s="2" t="str">
        <f t="shared" si="0"/>
        <v/>
      </c>
    </row>
    <row r="6" spans="1:9" ht="15" customHeight="1" x14ac:dyDescent="0.35">
      <c r="A6" s="5"/>
      <c r="B6" s="5"/>
      <c r="C6" s="5"/>
      <c r="D6" s="5"/>
      <c r="E6" s="5"/>
      <c r="F6" s="5"/>
      <c r="G6" s="5"/>
      <c r="I6" s="2" t="str">
        <f t="shared" si="0"/>
        <v/>
      </c>
    </row>
    <row r="7" spans="1:9" ht="15" customHeight="1" x14ac:dyDescent="0.35">
      <c r="A7" s="5"/>
      <c r="B7" s="5"/>
      <c r="C7" s="5"/>
      <c r="D7" s="5"/>
      <c r="E7" s="5"/>
      <c r="F7" s="5"/>
      <c r="G7" s="5"/>
      <c r="I7" s="2" t="str">
        <f t="shared" si="0"/>
        <v/>
      </c>
    </row>
    <row r="8" spans="1:9" ht="15" customHeight="1" x14ac:dyDescent="0.35">
      <c r="A8" s="5"/>
      <c r="B8" s="5"/>
      <c r="C8" s="5"/>
      <c r="D8" s="5"/>
      <c r="E8" s="5"/>
      <c r="F8" s="5"/>
      <c r="G8" s="5"/>
      <c r="I8" s="2" t="str">
        <f t="shared" si="0"/>
        <v/>
      </c>
    </row>
    <row r="9" spans="1:9" ht="15" customHeight="1" x14ac:dyDescent="0.35">
      <c r="A9" s="5"/>
      <c r="B9" s="5"/>
      <c r="C9" s="5"/>
      <c r="D9" s="5"/>
      <c r="E9" s="5"/>
      <c r="F9" s="5"/>
      <c r="G9" s="5"/>
      <c r="I9" s="2" t="str">
        <f t="shared" si="0"/>
        <v/>
      </c>
    </row>
    <row r="10" spans="1:9" ht="15" customHeight="1" x14ac:dyDescent="0.35">
      <c r="A10" s="5"/>
      <c r="B10" s="5"/>
      <c r="C10" s="5"/>
      <c r="D10" s="5"/>
      <c r="E10" s="5"/>
      <c r="F10" s="5"/>
      <c r="G10" s="5"/>
      <c r="I10" s="2" t="str">
        <f t="shared" si="0"/>
        <v/>
      </c>
    </row>
    <row r="11" spans="1:9" ht="15" customHeight="1" x14ac:dyDescent="0.35">
      <c r="A11" s="5"/>
      <c r="B11" s="5"/>
      <c r="C11" s="5"/>
      <c r="D11" s="5"/>
      <c r="E11" s="5"/>
      <c r="F11" s="5"/>
      <c r="G11" s="5"/>
      <c r="I11" s="2" t="str">
        <f t="shared" si="0"/>
        <v/>
      </c>
    </row>
    <row r="12" spans="1:9" ht="15" customHeight="1" x14ac:dyDescent="0.35">
      <c r="A12" s="5"/>
      <c r="B12" s="5"/>
      <c r="C12" s="5"/>
      <c r="D12" s="5"/>
      <c r="E12" s="5"/>
      <c r="F12" s="5"/>
      <c r="G12" s="5"/>
      <c r="I12" s="2" t="str">
        <f t="shared" si="0"/>
        <v/>
      </c>
    </row>
    <row r="13" spans="1:9" ht="15" customHeight="1" x14ac:dyDescent="0.35">
      <c r="A13" s="5"/>
      <c r="B13" s="5"/>
      <c r="C13" s="5"/>
      <c r="D13" s="5"/>
      <c r="E13" s="5"/>
      <c r="F13" s="5"/>
      <c r="G13" s="5"/>
      <c r="I13" s="2" t="str">
        <f t="shared" si="0"/>
        <v/>
      </c>
    </row>
    <row r="14" spans="1:9" ht="15" customHeight="1" x14ac:dyDescent="0.35">
      <c r="A14" s="5"/>
      <c r="B14" s="5"/>
      <c r="C14" s="5"/>
      <c r="D14" s="5"/>
      <c r="E14" s="5"/>
      <c r="F14" s="5"/>
      <c r="G14" s="5"/>
      <c r="I14" s="2" t="str">
        <f t="shared" si="0"/>
        <v/>
      </c>
    </row>
    <row r="15" spans="1:9" ht="15" customHeight="1" x14ac:dyDescent="0.35">
      <c r="A15" s="5"/>
      <c r="B15" s="5"/>
      <c r="C15" s="5"/>
      <c r="D15" s="5"/>
      <c r="E15" s="5"/>
      <c r="F15" s="5"/>
      <c r="G15" s="5"/>
      <c r="I15" s="2" t="str">
        <f t="shared" si="0"/>
        <v/>
      </c>
    </row>
    <row r="16" spans="1:9" ht="15" customHeight="1" x14ac:dyDescent="0.35">
      <c r="A16" s="5"/>
      <c r="B16" s="5"/>
      <c r="C16" s="5"/>
      <c r="D16" s="5"/>
      <c r="E16" s="5"/>
      <c r="F16" s="5"/>
      <c r="G16" s="5"/>
      <c r="I16" s="2" t="str">
        <f t="shared" si="0"/>
        <v/>
      </c>
    </row>
    <row r="17" spans="1:9" ht="15" customHeight="1" x14ac:dyDescent="0.35">
      <c r="A17" s="5"/>
      <c r="B17" s="5"/>
      <c r="C17" s="5"/>
      <c r="D17" s="5"/>
      <c r="E17" s="5"/>
      <c r="F17" s="5"/>
      <c r="G17" s="5"/>
      <c r="I17" s="2" t="str">
        <f t="shared" si="0"/>
        <v/>
      </c>
    </row>
    <row r="18" spans="1:9" ht="15" customHeight="1" x14ac:dyDescent="0.35">
      <c r="A18" s="5"/>
      <c r="B18" s="5"/>
      <c r="C18" s="5"/>
      <c r="D18" s="5"/>
      <c r="E18" s="5"/>
      <c r="F18" s="5"/>
      <c r="G18" s="5"/>
      <c r="I18" s="2" t="str">
        <f t="shared" si="0"/>
        <v/>
      </c>
    </row>
    <row r="19" spans="1:9" ht="15" customHeight="1" x14ac:dyDescent="0.35">
      <c r="A19" s="5"/>
      <c r="B19" s="5"/>
      <c r="C19" s="5"/>
      <c r="D19" s="5"/>
      <c r="E19" s="5"/>
      <c r="F19" s="5"/>
      <c r="G19" s="5"/>
      <c r="I19" s="2" t="str">
        <f t="shared" si="0"/>
        <v/>
      </c>
    </row>
    <row r="20" spans="1:9" ht="15" customHeight="1" x14ac:dyDescent="0.35">
      <c r="A20" s="5"/>
      <c r="B20" s="5"/>
      <c r="C20" s="5"/>
      <c r="D20" s="5"/>
      <c r="E20" s="5"/>
      <c r="F20" s="5"/>
      <c r="G20" s="5"/>
      <c r="I20" s="2" t="str">
        <f t="shared" si="0"/>
        <v/>
      </c>
    </row>
    <row r="21" spans="1:9" ht="15" customHeight="1" x14ac:dyDescent="0.35">
      <c r="A21" s="5"/>
      <c r="B21" s="5"/>
      <c r="C21" s="5"/>
      <c r="D21" s="5"/>
      <c r="E21" s="5"/>
      <c r="F21" s="5"/>
      <c r="G21" s="5"/>
      <c r="I21" s="2" t="str">
        <f t="shared" si="0"/>
        <v/>
      </c>
    </row>
    <row r="22" spans="1:9" ht="15" customHeight="1" x14ac:dyDescent="0.35">
      <c r="A22" s="5"/>
      <c r="B22" s="5"/>
      <c r="C22" s="5"/>
      <c r="D22" s="5"/>
      <c r="E22" s="5"/>
      <c r="F22" s="5"/>
      <c r="G22" s="5"/>
      <c r="I22" s="2" t="str">
        <f t="shared" si="0"/>
        <v/>
      </c>
    </row>
    <row r="23" spans="1:9" ht="15" customHeight="1" x14ac:dyDescent="0.35">
      <c r="A23" s="5"/>
      <c r="B23" s="5"/>
      <c r="C23" s="5"/>
      <c r="D23" s="5"/>
      <c r="E23" s="5"/>
      <c r="F23" s="5"/>
      <c r="G23" s="5"/>
      <c r="I23" s="2" t="str">
        <f t="shared" si="0"/>
        <v/>
      </c>
    </row>
    <row r="24" spans="1:9" ht="15" customHeight="1" x14ac:dyDescent="0.35">
      <c r="A24" s="5"/>
      <c r="B24" s="5"/>
      <c r="C24" s="5"/>
      <c r="D24" s="5"/>
      <c r="E24" s="5"/>
      <c r="F24" s="5"/>
      <c r="G24" s="5"/>
      <c r="I24" s="2" t="str">
        <f t="shared" si="0"/>
        <v/>
      </c>
    </row>
    <row r="25" spans="1:9" ht="15" customHeight="1" x14ac:dyDescent="0.35">
      <c r="A25" s="5"/>
      <c r="B25" s="5"/>
      <c r="C25" s="5"/>
      <c r="D25" s="5"/>
      <c r="E25" s="5"/>
      <c r="F25" s="5"/>
      <c r="G25" s="5"/>
      <c r="I25" s="2" t="str">
        <f t="shared" si="0"/>
        <v/>
      </c>
    </row>
    <row r="26" spans="1:9" ht="15" customHeight="1" x14ac:dyDescent="0.35">
      <c r="A26" s="5"/>
      <c r="B26" s="5"/>
      <c r="C26" s="5"/>
      <c r="D26" s="5"/>
      <c r="E26" s="5"/>
      <c r="F26" s="5"/>
      <c r="G26" s="5"/>
      <c r="I26" s="2" t="str">
        <f t="shared" si="0"/>
        <v/>
      </c>
    </row>
    <row r="27" spans="1:9" ht="15" customHeight="1" x14ac:dyDescent="0.35">
      <c r="A27" s="5"/>
      <c r="B27" s="5"/>
      <c r="C27" s="5"/>
      <c r="D27" s="5"/>
      <c r="E27" s="5"/>
      <c r="F27" s="5"/>
      <c r="G27" s="5"/>
      <c r="I27" s="2" t="str">
        <f t="shared" si="0"/>
        <v/>
      </c>
    </row>
    <row r="28" spans="1:9" ht="15" customHeight="1" x14ac:dyDescent="0.35">
      <c r="A28" s="5"/>
      <c r="B28" s="5"/>
      <c r="C28" s="5"/>
      <c r="D28" s="5"/>
      <c r="E28" s="5"/>
      <c r="F28" s="5"/>
      <c r="G28" s="5"/>
      <c r="I28" s="2" t="str">
        <f t="shared" si="0"/>
        <v/>
      </c>
    </row>
    <row r="29" spans="1:9" ht="15" customHeight="1" x14ac:dyDescent="0.35">
      <c r="A29" s="5"/>
      <c r="B29" s="5"/>
      <c r="C29" s="5"/>
      <c r="D29" s="5"/>
      <c r="E29" s="5"/>
      <c r="F29" s="5"/>
      <c r="G29" s="5"/>
      <c r="I29" s="2" t="str">
        <f t="shared" si="0"/>
        <v/>
      </c>
    </row>
    <row r="30" spans="1:9" ht="15" customHeight="1" x14ac:dyDescent="0.35">
      <c r="I30" s="2" t="str">
        <f t="shared" si="0"/>
        <v/>
      </c>
    </row>
    <row r="31" spans="1:9" ht="15" customHeight="1" x14ac:dyDescent="0.35">
      <c r="I31" s="2" t="str">
        <f t="shared" si="0"/>
        <v/>
      </c>
    </row>
    <row r="32" spans="1:9" ht="15" customHeight="1" x14ac:dyDescent="0.35">
      <c r="I32" s="2" t="str">
        <f t="shared" si="0"/>
        <v/>
      </c>
    </row>
    <row r="33" spans="9:9" ht="15" customHeight="1" x14ac:dyDescent="0.35">
      <c r="I33" s="2" t="str">
        <f t="shared" si="0"/>
        <v/>
      </c>
    </row>
    <row r="34" spans="9:9" ht="15" customHeight="1" x14ac:dyDescent="0.35">
      <c r="I34" s="2" t="str">
        <f t="shared" si="0"/>
        <v/>
      </c>
    </row>
    <row r="35" spans="9:9" ht="15" customHeight="1" x14ac:dyDescent="0.35">
      <c r="I35" s="2" t="str">
        <f t="shared" si="0"/>
        <v/>
      </c>
    </row>
    <row r="36" spans="9:9" ht="15" customHeight="1" x14ac:dyDescent="0.35">
      <c r="I36" s="2" t="str">
        <f t="shared" ref="I36:I67" si="1">IF($A36="","",IF(OR($A36="",$B36="",$D36=""),"Missing required field",IF(ISERROR(FIND("@",$B36)),"Invalid email format",IF(COUNTIF($B$4:$B$200,$B36)&gt;1,"Duplicate email","OK"))))</f>
        <v/>
      </c>
    </row>
    <row r="37" spans="9:9" ht="15" customHeight="1" x14ac:dyDescent="0.35">
      <c r="I37" s="2" t="str">
        <f t="shared" si="1"/>
        <v/>
      </c>
    </row>
    <row r="38" spans="9:9" ht="15" customHeight="1" x14ac:dyDescent="0.35">
      <c r="I38" s="2" t="str">
        <f t="shared" si="1"/>
        <v/>
      </c>
    </row>
    <row r="39" spans="9:9" ht="15" customHeight="1" x14ac:dyDescent="0.35">
      <c r="I39" s="2" t="str">
        <f t="shared" si="1"/>
        <v/>
      </c>
    </row>
    <row r="40" spans="9:9" ht="15" customHeight="1" x14ac:dyDescent="0.35">
      <c r="I40" s="2" t="str">
        <f t="shared" si="1"/>
        <v/>
      </c>
    </row>
    <row r="41" spans="9:9" ht="15" customHeight="1" x14ac:dyDescent="0.35">
      <c r="I41" s="2" t="str">
        <f t="shared" si="1"/>
        <v/>
      </c>
    </row>
    <row r="42" spans="9:9" ht="15" customHeight="1" x14ac:dyDescent="0.35">
      <c r="I42" s="2" t="str">
        <f t="shared" si="1"/>
        <v/>
      </c>
    </row>
    <row r="43" spans="9:9" ht="15" customHeight="1" x14ac:dyDescent="0.35">
      <c r="I43" s="2" t="str">
        <f t="shared" si="1"/>
        <v/>
      </c>
    </row>
    <row r="44" spans="9:9" ht="15" customHeight="1" x14ac:dyDescent="0.35">
      <c r="I44" s="2" t="str">
        <f t="shared" si="1"/>
        <v/>
      </c>
    </row>
    <row r="45" spans="9:9" ht="15" customHeight="1" x14ac:dyDescent="0.35">
      <c r="I45" s="2" t="str">
        <f t="shared" si="1"/>
        <v/>
      </c>
    </row>
    <row r="46" spans="9:9" ht="15" customHeight="1" x14ac:dyDescent="0.35">
      <c r="I46" s="2" t="str">
        <f t="shared" si="1"/>
        <v/>
      </c>
    </row>
    <row r="47" spans="9:9" ht="15" customHeight="1" x14ac:dyDescent="0.35">
      <c r="I47" s="2" t="str">
        <f t="shared" si="1"/>
        <v/>
      </c>
    </row>
    <row r="48" spans="9:9" ht="15" customHeight="1" x14ac:dyDescent="0.35">
      <c r="I48" s="2" t="str">
        <f t="shared" si="1"/>
        <v/>
      </c>
    </row>
    <row r="49" spans="9:9" ht="15" customHeight="1" x14ac:dyDescent="0.35">
      <c r="I49" s="2" t="str">
        <f t="shared" si="1"/>
        <v/>
      </c>
    </row>
    <row r="50" spans="9:9" ht="15" customHeight="1" x14ac:dyDescent="0.35">
      <c r="I50" s="2" t="str">
        <f t="shared" si="1"/>
        <v/>
      </c>
    </row>
    <row r="51" spans="9:9" ht="15" customHeight="1" x14ac:dyDescent="0.35">
      <c r="I51" s="2" t="str">
        <f t="shared" si="1"/>
        <v/>
      </c>
    </row>
    <row r="52" spans="9:9" ht="15" customHeight="1" x14ac:dyDescent="0.35">
      <c r="I52" s="2" t="str">
        <f t="shared" si="1"/>
        <v/>
      </c>
    </row>
    <row r="53" spans="9:9" ht="15" customHeight="1" x14ac:dyDescent="0.35">
      <c r="I53" s="2" t="str">
        <f t="shared" si="1"/>
        <v/>
      </c>
    </row>
    <row r="54" spans="9:9" ht="15" customHeight="1" x14ac:dyDescent="0.35">
      <c r="I54" s="2" t="str">
        <f t="shared" si="1"/>
        <v/>
      </c>
    </row>
    <row r="55" spans="9:9" ht="15" customHeight="1" x14ac:dyDescent="0.35">
      <c r="I55" s="2" t="str">
        <f t="shared" si="1"/>
        <v/>
      </c>
    </row>
    <row r="56" spans="9:9" ht="15" customHeight="1" x14ac:dyDescent="0.35">
      <c r="I56" s="2" t="str">
        <f t="shared" si="1"/>
        <v/>
      </c>
    </row>
    <row r="57" spans="9:9" ht="15" customHeight="1" x14ac:dyDescent="0.35">
      <c r="I57" s="2" t="str">
        <f t="shared" si="1"/>
        <v/>
      </c>
    </row>
    <row r="58" spans="9:9" ht="15" customHeight="1" x14ac:dyDescent="0.35">
      <c r="I58" s="2" t="str">
        <f t="shared" si="1"/>
        <v/>
      </c>
    </row>
    <row r="59" spans="9:9" ht="15" customHeight="1" x14ac:dyDescent="0.35">
      <c r="I59" s="2" t="str">
        <f t="shared" si="1"/>
        <v/>
      </c>
    </row>
    <row r="60" spans="9:9" ht="15" customHeight="1" x14ac:dyDescent="0.35">
      <c r="I60" s="2" t="str">
        <f t="shared" si="1"/>
        <v/>
      </c>
    </row>
    <row r="61" spans="9:9" ht="15" customHeight="1" x14ac:dyDescent="0.35">
      <c r="I61" s="2" t="str">
        <f t="shared" si="1"/>
        <v/>
      </c>
    </row>
    <row r="62" spans="9:9" ht="15" customHeight="1" x14ac:dyDescent="0.35">
      <c r="I62" s="2" t="str">
        <f t="shared" si="1"/>
        <v/>
      </c>
    </row>
    <row r="63" spans="9:9" ht="15" customHeight="1" x14ac:dyDescent="0.35">
      <c r="I63" s="2" t="str">
        <f t="shared" si="1"/>
        <v/>
      </c>
    </row>
    <row r="64" spans="9:9" ht="15" customHeight="1" x14ac:dyDescent="0.35">
      <c r="I64" s="2" t="str">
        <f t="shared" si="1"/>
        <v/>
      </c>
    </row>
    <row r="65" spans="9:9" ht="15" customHeight="1" x14ac:dyDescent="0.35">
      <c r="I65" s="2" t="str">
        <f t="shared" si="1"/>
        <v/>
      </c>
    </row>
    <row r="66" spans="9:9" ht="15" customHeight="1" x14ac:dyDescent="0.35">
      <c r="I66" s="2" t="str">
        <f t="shared" si="1"/>
        <v/>
      </c>
    </row>
    <row r="67" spans="9:9" ht="15" customHeight="1" x14ac:dyDescent="0.35">
      <c r="I67" s="2" t="str">
        <f t="shared" si="1"/>
        <v/>
      </c>
    </row>
    <row r="68" spans="9:9" ht="15" customHeight="1" x14ac:dyDescent="0.35">
      <c r="I68" s="2" t="str">
        <f t="shared" ref="I68:I99" si="2">IF($A68="","",IF(OR($A68="",$B68="",$D68=""),"Missing required field",IF(ISERROR(FIND("@",$B68)),"Invalid email format",IF(COUNTIF($B$4:$B$200,$B68)&gt;1,"Duplicate email","OK"))))</f>
        <v/>
      </c>
    </row>
    <row r="69" spans="9:9" ht="15" customHeight="1" x14ac:dyDescent="0.35">
      <c r="I69" s="2" t="str">
        <f t="shared" si="2"/>
        <v/>
      </c>
    </row>
    <row r="70" spans="9:9" ht="15" customHeight="1" x14ac:dyDescent="0.35">
      <c r="I70" s="2" t="str">
        <f t="shared" si="2"/>
        <v/>
      </c>
    </row>
    <row r="71" spans="9:9" ht="15" customHeight="1" x14ac:dyDescent="0.35">
      <c r="I71" s="2" t="str">
        <f t="shared" si="2"/>
        <v/>
      </c>
    </row>
    <row r="72" spans="9:9" ht="15" customHeight="1" x14ac:dyDescent="0.35">
      <c r="I72" s="2" t="str">
        <f t="shared" si="2"/>
        <v/>
      </c>
    </row>
    <row r="73" spans="9:9" ht="15" customHeight="1" x14ac:dyDescent="0.35">
      <c r="I73" s="2" t="str">
        <f t="shared" si="2"/>
        <v/>
      </c>
    </row>
    <row r="74" spans="9:9" ht="15" customHeight="1" x14ac:dyDescent="0.35">
      <c r="I74" s="2" t="str">
        <f t="shared" si="2"/>
        <v/>
      </c>
    </row>
    <row r="75" spans="9:9" ht="15" customHeight="1" x14ac:dyDescent="0.35">
      <c r="I75" s="2" t="str">
        <f t="shared" si="2"/>
        <v/>
      </c>
    </row>
    <row r="76" spans="9:9" ht="15" customHeight="1" x14ac:dyDescent="0.35">
      <c r="I76" s="2" t="str">
        <f t="shared" si="2"/>
        <v/>
      </c>
    </row>
    <row r="77" spans="9:9" ht="15" customHeight="1" x14ac:dyDescent="0.35">
      <c r="I77" s="2" t="str">
        <f t="shared" si="2"/>
        <v/>
      </c>
    </row>
    <row r="78" spans="9:9" ht="15" customHeight="1" x14ac:dyDescent="0.35">
      <c r="I78" s="2" t="str">
        <f t="shared" si="2"/>
        <v/>
      </c>
    </row>
    <row r="79" spans="9:9" ht="15" customHeight="1" x14ac:dyDescent="0.35">
      <c r="I79" s="2" t="str">
        <f t="shared" si="2"/>
        <v/>
      </c>
    </row>
    <row r="80" spans="9:9" ht="15" customHeight="1" x14ac:dyDescent="0.35">
      <c r="I80" s="2" t="str">
        <f t="shared" si="2"/>
        <v/>
      </c>
    </row>
    <row r="81" spans="9:9" ht="15" customHeight="1" x14ac:dyDescent="0.35">
      <c r="I81" s="2" t="str">
        <f t="shared" si="2"/>
        <v/>
      </c>
    </row>
    <row r="82" spans="9:9" ht="15" customHeight="1" x14ac:dyDescent="0.35">
      <c r="I82" s="2" t="str">
        <f t="shared" si="2"/>
        <v/>
      </c>
    </row>
    <row r="83" spans="9:9" ht="15" customHeight="1" x14ac:dyDescent="0.35">
      <c r="I83" s="2" t="str">
        <f t="shared" si="2"/>
        <v/>
      </c>
    </row>
    <row r="84" spans="9:9" ht="15" customHeight="1" x14ac:dyDescent="0.35">
      <c r="I84" s="2" t="str">
        <f t="shared" si="2"/>
        <v/>
      </c>
    </row>
    <row r="85" spans="9:9" ht="15" customHeight="1" x14ac:dyDescent="0.35">
      <c r="I85" s="2" t="str">
        <f t="shared" si="2"/>
        <v/>
      </c>
    </row>
    <row r="86" spans="9:9" ht="15" customHeight="1" x14ac:dyDescent="0.35">
      <c r="I86" s="2" t="str">
        <f t="shared" si="2"/>
        <v/>
      </c>
    </row>
    <row r="87" spans="9:9" ht="15" customHeight="1" x14ac:dyDescent="0.35">
      <c r="I87" s="2" t="str">
        <f t="shared" si="2"/>
        <v/>
      </c>
    </row>
    <row r="88" spans="9:9" ht="15" customHeight="1" x14ac:dyDescent="0.35">
      <c r="I88" s="2" t="str">
        <f t="shared" si="2"/>
        <v/>
      </c>
    </row>
    <row r="89" spans="9:9" ht="15" customHeight="1" x14ac:dyDescent="0.35">
      <c r="I89" s="2" t="str">
        <f t="shared" si="2"/>
        <v/>
      </c>
    </row>
    <row r="90" spans="9:9" ht="15" customHeight="1" x14ac:dyDescent="0.35">
      <c r="I90" s="2" t="str">
        <f t="shared" si="2"/>
        <v/>
      </c>
    </row>
    <row r="91" spans="9:9" ht="15" customHeight="1" x14ac:dyDescent="0.35">
      <c r="I91" s="2" t="str">
        <f t="shared" si="2"/>
        <v/>
      </c>
    </row>
    <row r="92" spans="9:9" ht="15" customHeight="1" x14ac:dyDescent="0.35">
      <c r="I92" s="2" t="str">
        <f t="shared" si="2"/>
        <v/>
      </c>
    </row>
    <row r="93" spans="9:9" ht="15" customHeight="1" x14ac:dyDescent="0.35">
      <c r="I93" s="2" t="str">
        <f t="shared" si="2"/>
        <v/>
      </c>
    </row>
    <row r="94" spans="9:9" ht="15" customHeight="1" x14ac:dyDescent="0.35">
      <c r="I94" s="2" t="str">
        <f t="shared" si="2"/>
        <v/>
      </c>
    </row>
    <row r="95" spans="9:9" ht="15" customHeight="1" x14ac:dyDescent="0.35">
      <c r="I95" s="2" t="str">
        <f t="shared" si="2"/>
        <v/>
      </c>
    </row>
    <row r="96" spans="9:9" ht="15" customHeight="1" x14ac:dyDescent="0.35">
      <c r="I96" s="2" t="str">
        <f t="shared" si="2"/>
        <v/>
      </c>
    </row>
    <row r="97" spans="9:9" ht="15" customHeight="1" x14ac:dyDescent="0.35">
      <c r="I97" s="2" t="str">
        <f t="shared" si="2"/>
        <v/>
      </c>
    </row>
    <row r="98" spans="9:9" ht="15" customHeight="1" x14ac:dyDescent="0.35">
      <c r="I98" s="2" t="str">
        <f t="shared" si="2"/>
        <v/>
      </c>
    </row>
    <row r="99" spans="9:9" ht="15" customHeight="1" x14ac:dyDescent="0.35">
      <c r="I99" s="2" t="str">
        <f t="shared" si="2"/>
        <v/>
      </c>
    </row>
    <row r="100" spans="9:9" ht="15" customHeight="1" x14ac:dyDescent="0.35">
      <c r="I100" s="2" t="str">
        <f t="shared" ref="I100:I131" si="3">IF($A100="","",IF(OR($A100="",$B100="",$D100=""),"Missing required field",IF(ISERROR(FIND("@",$B100)),"Invalid email format",IF(COUNTIF($B$4:$B$200,$B100)&gt;1,"Duplicate email","OK"))))</f>
        <v/>
      </c>
    </row>
    <row r="101" spans="9:9" ht="15" customHeight="1" x14ac:dyDescent="0.35">
      <c r="I101" s="2" t="str">
        <f t="shared" si="3"/>
        <v/>
      </c>
    </row>
    <row r="102" spans="9:9" ht="15" customHeight="1" x14ac:dyDescent="0.35">
      <c r="I102" s="2" t="str">
        <f t="shared" si="3"/>
        <v/>
      </c>
    </row>
    <row r="103" spans="9:9" ht="15" customHeight="1" x14ac:dyDescent="0.35">
      <c r="I103" s="2" t="str">
        <f t="shared" si="3"/>
        <v/>
      </c>
    </row>
    <row r="104" spans="9:9" ht="15" customHeight="1" x14ac:dyDescent="0.35">
      <c r="I104" s="2" t="str">
        <f t="shared" si="3"/>
        <v/>
      </c>
    </row>
    <row r="105" spans="9:9" ht="15" customHeight="1" x14ac:dyDescent="0.35">
      <c r="I105" s="2" t="str">
        <f t="shared" si="3"/>
        <v/>
      </c>
    </row>
    <row r="106" spans="9:9" ht="15" customHeight="1" x14ac:dyDescent="0.35">
      <c r="I106" s="2" t="str">
        <f t="shared" si="3"/>
        <v/>
      </c>
    </row>
    <row r="107" spans="9:9" ht="15" customHeight="1" x14ac:dyDescent="0.35">
      <c r="I107" s="2" t="str">
        <f t="shared" si="3"/>
        <v/>
      </c>
    </row>
    <row r="108" spans="9:9" ht="15" customHeight="1" x14ac:dyDescent="0.35">
      <c r="I108" s="2" t="str">
        <f t="shared" si="3"/>
        <v/>
      </c>
    </row>
    <row r="109" spans="9:9" ht="15" customHeight="1" x14ac:dyDescent="0.35">
      <c r="I109" s="2" t="str">
        <f t="shared" si="3"/>
        <v/>
      </c>
    </row>
    <row r="110" spans="9:9" ht="15" customHeight="1" x14ac:dyDescent="0.35">
      <c r="I110" s="2" t="str">
        <f t="shared" si="3"/>
        <v/>
      </c>
    </row>
    <row r="111" spans="9:9" ht="15" customHeight="1" x14ac:dyDescent="0.35">
      <c r="I111" s="2" t="str">
        <f t="shared" si="3"/>
        <v/>
      </c>
    </row>
    <row r="112" spans="9:9" ht="15" customHeight="1" x14ac:dyDescent="0.35">
      <c r="I112" s="2" t="str">
        <f t="shared" si="3"/>
        <v/>
      </c>
    </row>
    <row r="113" spans="9:9" ht="15" customHeight="1" x14ac:dyDescent="0.35">
      <c r="I113" s="2" t="str">
        <f t="shared" si="3"/>
        <v/>
      </c>
    </row>
    <row r="114" spans="9:9" ht="15" customHeight="1" x14ac:dyDescent="0.35">
      <c r="I114" s="2" t="str">
        <f t="shared" si="3"/>
        <v/>
      </c>
    </row>
    <row r="115" spans="9:9" ht="15" customHeight="1" x14ac:dyDescent="0.35">
      <c r="I115" s="2" t="str">
        <f t="shared" si="3"/>
        <v/>
      </c>
    </row>
    <row r="116" spans="9:9" ht="15" customHeight="1" x14ac:dyDescent="0.35">
      <c r="I116" s="2" t="str">
        <f t="shared" si="3"/>
        <v/>
      </c>
    </row>
    <row r="117" spans="9:9" ht="15" customHeight="1" x14ac:dyDescent="0.35">
      <c r="I117" s="2" t="str">
        <f t="shared" si="3"/>
        <v/>
      </c>
    </row>
    <row r="118" spans="9:9" ht="15" customHeight="1" x14ac:dyDescent="0.35">
      <c r="I118" s="2" t="str">
        <f t="shared" si="3"/>
        <v/>
      </c>
    </row>
    <row r="119" spans="9:9" ht="15" customHeight="1" x14ac:dyDescent="0.35">
      <c r="I119" s="2" t="str">
        <f t="shared" si="3"/>
        <v/>
      </c>
    </row>
    <row r="120" spans="9:9" ht="15" customHeight="1" x14ac:dyDescent="0.35">
      <c r="I120" s="2" t="str">
        <f t="shared" si="3"/>
        <v/>
      </c>
    </row>
    <row r="121" spans="9:9" ht="15" customHeight="1" x14ac:dyDescent="0.35">
      <c r="I121" s="2" t="str">
        <f t="shared" si="3"/>
        <v/>
      </c>
    </row>
    <row r="122" spans="9:9" ht="15" customHeight="1" x14ac:dyDescent="0.35">
      <c r="I122" s="2" t="str">
        <f t="shared" si="3"/>
        <v/>
      </c>
    </row>
    <row r="123" spans="9:9" ht="15" customHeight="1" x14ac:dyDescent="0.35">
      <c r="I123" s="2" t="str">
        <f t="shared" si="3"/>
        <v/>
      </c>
    </row>
    <row r="124" spans="9:9" ht="15" customHeight="1" x14ac:dyDescent="0.35">
      <c r="I124" s="2" t="str">
        <f t="shared" si="3"/>
        <v/>
      </c>
    </row>
    <row r="125" spans="9:9" ht="15" customHeight="1" x14ac:dyDescent="0.35">
      <c r="I125" s="2" t="str">
        <f t="shared" si="3"/>
        <v/>
      </c>
    </row>
    <row r="126" spans="9:9" ht="15" customHeight="1" x14ac:dyDescent="0.35">
      <c r="I126" s="2" t="str">
        <f t="shared" si="3"/>
        <v/>
      </c>
    </row>
    <row r="127" spans="9:9" ht="15" customHeight="1" x14ac:dyDescent="0.35">
      <c r="I127" s="2" t="str">
        <f t="shared" si="3"/>
        <v/>
      </c>
    </row>
    <row r="128" spans="9:9" ht="15" customHeight="1" x14ac:dyDescent="0.35">
      <c r="I128" s="2" t="str">
        <f t="shared" si="3"/>
        <v/>
      </c>
    </row>
    <row r="129" spans="9:9" ht="15" customHeight="1" x14ac:dyDescent="0.35">
      <c r="I129" s="2" t="str">
        <f t="shared" si="3"/>
        <v/>
      </c>
    </row>
    <row r="130" spans="9:9" ht="15" customHeight="1" x14ac:dyDescent="0.35">
      <c r="I130" s="2" t="str">
        <f t="shared" si="3"/>
        <v/>
      </c>
    </row>
    <row r="131" spans="9:9" ht="15" customHeight="1" x14ac:dyDescent="0.35">
      <c r="I131" s="2" t="str">
        <f t="shared" si="3"/>
        <v/>
      </c>
    </row>
    <row r="132" spans="9:9" ht="15" customHeight="1" x14ac:dyDescent="0.35">
      <c r="I132" s="2" t="str">
        <f t="shared" ref="I132:I163" si="4">IF($A132="","",IF(OR($A132="",$B132="",$D132=""),"Missing required field",IF(ISERROR(FIND("@",$B132)),"Invalid email format",IF(COUNTIF($B$4:$B$200,$B132)&gt;1,"Duplicate email","OK"))))</f>
        <v/>
      </c>
    </row>
    <row r="133" spans="9:9" ht="15" customHeight="1" x14ac:dyDescent="0.35">
      <c r="I133" s="2" t="str">
        <f t="shared" si="4"/>
        <v/>
      </c>
    </row>
    <row r="134" spans="9:9" ht="15" customHeight="1" x14ac:dyDescent="0.35">
      <c r="I134" s="2" t="str">
        <f t="shared" si="4"/>
        <v/>
      </c>
    </row>
    <row r="135" spans="9:9" ht="15" customHeight="1" x14ac:dyDescent="0.35">
      <c r="I135" s="2" t="str">
        <f t="shared" si="4"/>
        <v/>
      </c>
    </row>
    <row r="136" spans="9:9" ht="15" customHeight="1" x14ac:dyDescent="0.35">
      <c r="I136" s="2" t="str">
        <f t="shared" si="4"/>
        <v/>
      </c>
    </row>
    <row r="137" spans="9:9" ht="15" customHeight="1" x14ac:dyDescent="0.35">
      <c r="I137" s="2" t="str">
        <f t="shared" si="4"/>
        <v/>
      </c>
    </row>
    <row r="138" spans="9:9" ht="15" customHeight="1" x14ac:dyDescent="0.35">
      <c r="I138" s="2" t="str">
        <f t="shared" si="4"/>
        <v/>
      </c>
    </row>
    <row r="139" spans="9:9" ht="15" customHeight="1" x14ac:dyDescent="0.35">
      <c r="I139" s="2" t="str">
        <f t="shared" si="4"/>
        <v/>
      </c>
    </row>
    <row r="140" spans="9:9" ht="15" customHeight="1" x14ac:dyDescent="0.35">
      <c r="I140" s="2" t="str">
        <f t="shared" si="4"/>
        <v/>
      </c>
    </row>
    <row r="141" spans="9:9" ht="15" customHeight="1" x14ac:dyDescent="0.35">
      <c r="I141" s="2" t="str">
        <f t="shared" si="4"/>
        <v/>
      </c>
    </row>
    <row r="142" spans="9:9" ht="15" customHeight="1" x14ac:dyDescent="0.35">
      <c r="I142" s="2" t="str">
        <f t="shared" si="4"/>
        <v/>
      </c>
    </row>
    <row r="143" spans="9:9" ht="15" customHeight="1" x14ac:dyDescent="0.35">
      <c r="I143" s="2" t="str">
        <f t="shared" si="4"/>
        <v/>
      </c>
    </row>
    <row r="144" spans="9:9" ht="15" customHeight="1" x14ac:dyDescent="0.35">
      <c r="I144" s="2" t="str">
        <f t="shared" si="4"/>
        <v/>
      </c>
    </row>
    <row r="145" spans="9:9" ht="15" customHeight="1" x14ac:dyDescent="0.35">
      <c r="I145" s="2" t="str">
        <f t="shared" si="4"/>
        <v/>
      </c>
    </row>
    <row r="146" spans="9:9" ht="15" customHeight="1" x14ac:dyDescent="0.35">
      <c r="I146" s="2" t="str">
        <f t="shared" si="4"/>
        <v/>
      </c>
    </row>
    <row r="147" spans="9:9" ht="15" customHeight="1" x14ac:dyDescent="0.35">
      <c r="I147" s="2" t="str">
        <f t="shared" si="4"/>
        <v/>
      </c>
    </row>
    <row r="148" spans="9:9" ht="15" customHeight="1" x14ac:dyDescent="0.35">
      <c r="I148" s="2" t="str">
        <f t="shared" si="4"/>
        <v/>
      </c>
    </row>
    <row r="149" spans="9:9" ht="15" customHeight="1" x14ac:dyDescent="0.35">
      <c r="I149" s="2" t="str">
        <f t="shared" si="4"/>
        <v/>
      </c>
    </row>
    <row r="150" spans="9:9" ht="15" customHeight="1" x14ac:dyDescent="0.35">
      <c r="I150" s="2" t="str">
        <f t="shared" si="4"/>
        <v/>
      </c>
    </row>
    <row r="151" spans="9:9" ht="15" customHeight="1" x14ac:dyDescent="0.35">
      <c r="I151" s="2" t="str">
        <f t="shared" si="4"/>
        <v/>
      </c>
    </row>
    <row r="152" spans="9:9" ht="15" customHeight="1" x14ac:dyDescent="0.35">
      <c r="I152" s="2" t="str">
        <f t="shared" si="4"/>
        <v/>
      </c>
    </row>
    <row r="153" spans="9:9" ht="15" customHeight="1" x14ac:dyDescent="0.35">
      <c r="I153" s="2" t="str">
        <f t="shared" si="4"/>
        <v/>
      </c>
    </row>
    <row r="154" spans="9:9" ht="15" customHeight="1" x14ac:dyDescent="0.35">
      <c r="I154" s="2" t="str">
        <f t="shared" si="4"/>
        <v/>
      </c>
    </row>
    <row r="155" spans="9:9" ht="15" customHeight="1" x14ac:dyDescent="0.35">
      <c r="I155" s="2" t="str">
        <f t="shared" si="4"/>
        <v/>
      </c>
    </row>
    <row r="156" spans="9:9" ht="15" customHeight="1" x14ac:dyDescent="0.35">
      <c r="I156" s="2" t="str">
        <f t="shared" si="4"/>
        <v/>
      </c>
    </row>
    <row r="157" spans="9:9" ht="15" customHeight="1" x14ac:dyDescent="0.35">
      <c r="I157" s="2" t="str">
        <f t="shared" si="4"/>
        <v/>
      </c>
    </row>
    <row r="158" spans="9:9" ht="15" customHeight="1" x14ac:dyDescent="0.35">
      <c r="I158" s="2" t="str">
        <f t="shared" si="4"/>
        <v/>
      </c>
    </row>
    <row r="159" spans="9:9" ht="15" customHeight="1" x14ac:dyDescent="0.35">
      <c r="I159" s="2" t="str">
        <f t="shared" si="4"/>
        <v/>
      </c>
    </row>
    <row r="160" spans="9:9" ht="15" customHeight="1" x14ac:dyDescent="0.35">
      <c r="I160" s="2" t="str">
        <f t="shared" si="4"/>
        <v/>
      </c>
    </row>
    <row r="161" spans="9:9" ht="15" customHeight="1" x14ac:dyDescent="0.35">
      <c r="I161" s="2" t="str">
        <f t="shared" si="4"/>
        <v/>
      </c>
    </row>
    <row r="162" spans="9:9" ht="15" customHeight="1" x14ac:dyDescent="0.35">
      <c r="I162" s="2" t="str">
        <f t="shared" si="4"/>
        <v/>
      </c>
    </row>
    <row r="163" spans="9:9" ht="15" customHeight="1" x14ac:dyDescent="0.35">
      <c r="I163" s="2" t="str">
        <f t="shared" si="4"/>
        <v/>
      </c>
    </row>
    <row r="164" spans="9:9" ht="15" customHeight="1" x14ac:dyDescent="0.35">
      <c r="I164" s="2" t="str">
        <f t="shared" ref="I164:I200" si="5">IF($A164="","",IF(OR($A164="",$B164="",$D164=""),"Missing required field",IF(ISERROR(FIND("@",$B164)),"Invalid email format",IF(COUNTIF($B$4:$B$200,$B164)&gt;1,"Duplicate email","OK"))))</f>
        <v/>
      </c>
    </row>
    <row r="165" spans="9:9" ht="15" customHeight="1" x14ac:dyDescent="0.35">
      <c r="I165" s="2" t="str">
        <f t="shared" si="5"/>
        <v/>
      </c>
    </row>
    <row r="166" spans="9:9" ht="15" customHeight="1" x14ac:dyDescent="0.35">
      <c r="I166" s="2" t="str">
        <f t="shared" si="5"/>
        <v/>
      </c>
    </row>
    <row r="167" spans="9:9" ht="15" customHeight="1" x14ac:dyDescent="0.35">
      <c r="I167" s="2" t="str">
        <f t="shared" si="5"/>
        <v/>
      </c>
    </row>
    <row r="168" spans="9:9" ht="15" customHeight="1" x14ac:dyDescent="0.35">
      <c r="I168" s="2" t="str">
        <f t="shared" si="5"/>
        <v/>
      </c>
    </row>
    <row r="169" spans="9:9" ht="15" customHeight="1" x14ac:dyDescent="0.35">
      <c r="I169" s="2" t="str">
        <f t="shared" si="5"/>
        <v/>
      </c>
    </row>
    <row r="170" spans="9:9" ht="15" customHeight="1" x14ac:dyDescent="0.35">
      <c r="I170" s="2" t="str">
        <f t="shared" si="5"/>
        <v/>
      </c>
    </row>
    <row r="171" spans="9:9" ht="15" customHeight="1" x14ac:dyDescent="0.35">
      <c r="I171" s="2" t="str">
        <f t="shared" si="5"/>
        <v/>
      </c>
    </row>
    <row r="172" spans="9:9" ht="15" customHeight="1" x14ac:dyDescent="0.35">
      <c r="I172" s="2" t="str">
        <f t="shared" si="5"/>
        <v/>
      </c>
    </row>
    <row r="173" spans="9:9" ht="15" customHeight="1" x14ac:dyDescent="0.35">
      <c r="I173" s="2" t="str">
        <f t="shared" si="5"/>
        <v/>
      </c>
    </row>
    <row r="174" spans="9:9" ht="15" customHeight="1" x14ac:dyDescent="0.35">
      <c r="I174" s="2" t="str">
        <f t="shared" si="5"/>
        <v/>
      </c>
    </row>
    <row r="175" spans="9:9" ht="15" customHeight="1" x14ac:dyDescent="0.35">
      <c r="I175" s="2" t="str">
        <f t="shared" si="5"/>
        <v/>
      </c>
    </row>
    <row r="176" spans="9:9" ht="15" customHeight="1" x14ac:dyDescent="0.35">
      <c r="I176" s="2" t="str">
        <f t="shared" si="5"/>
        <v/>
      </c>
    </row>
    <row r="177" spans="9:9" ht="15" customHeight="1" x14ac:dyDescent="0.35">
      <c r="I177" s="2" t="str">
        <f t="shared" si="5"/>
        <v/>
      </c>
    </row>
    <row r="178" spans="9:9" ht="15" customHeight="1" x14ac:dyDescent="0.35">
      <c r="I178" s="2" t="str">
        <f t="shared" si="5"/>
        <v/>
      </c>
    </row>
    <row r="179" spans="9:9" ht="15" customHeight="1" x14ac:dyDescent="0.35">
      <c r="I179" s="2" t="str">
        <f t="shared" si="5"/>
        <v/>
      </c>
    </row>
    <row r="180" spans="9:9" ht="15" customHeight="1" x14ac:dyDescent="0.35">
      <c r="I180" s="2" t="str">
        <f t="shared" si="5"/>
        <v/>
      </c>
    </row>
    <row r="181" spans="9:9" ht="15" customHeight="1" x14ac:dyDescent="0.35">
      <c r="I181" s="2" t="str">
        <f t="shared" si="5"/>
        <v/>
      </c>
    </row>
    <row r="182" spans="9:9" ht="15" customHeight="1" x14ac:dyDescent="0.35">
      <c r="I182" s="2" t="str">
        <f t="shared" si="5"/>
        <v/>
      </c>
    </row>
    <row r="183" spans="9:9" ht="15" customHeight="1" x14ac:dyDescent="0.35">
      <c r="I183" s="2" t="str">
        <f t="shared" si="5"/>
        <v/>
      </c>
    </row>
    <row r="184" spans="9:9" ht="15" customHeight="1" x14ac:dyDescent="0.35">
      <c r="I184" s="2" t="str">
        <f t="shared" si="5"/>
        <v/>
      </c>
    </row>
    <row r="185" spans="9:9" ht="15" customHeight="1" x14ac:dyDescent="0.35">
      <c r="I185" s="2" t="str">
        <f t="shared" si="5"/>
        <v/>
      </c>
    </row>
    <row r="186" spans="9:9" ht="15" customHeight="1" x14ac:dyDescent="0.35">
      <c r="I186" s="2" t="str">
        <f t="shared" si="5"/>
        <v/>
      </c>
    </row>
    <row r="187" spans="9:9" ht="15" customHeight="1" x14ac:dyDescent="0.35">
      <c r="I187" s="2" t="str">
        <f t="shared" si="5"/>
        <v/>
      </c>
    </row>
    <row r="188" spans="9:9" ht="15" customHeight="1" x14ac:dyDescent="0.35">
      <c r="I188" s="2" t="str">
        <f t="shared" si="5"/>
        <v/>
      </c>
    </row>
    <row r="189" spans="9:9" ht="15" customHeight="1" x14ac:dyDescent="0.35">
      <c r="I189" s="2" t="str">
        <f t="shared" si="5"/>
        <v/>
      </c>
    </row>
    <row r="190" spans="9:9" ht="15" customHeight="1" x14ac:dyDescent="0.35">
      <c r="I190" s="2" t="str">
        <f t="shared" si="5"/>
        <v/>
      </c>
    </row>
    <row r="191" spans="9:9" ht="15" customHeight="1" x14ac:dyDescent="0.35">
      <c r="I191" s="2" t="str">
        <f t="shared" si="5"/>
        <v/>
      </c>
    </row>
    <row r="192" spans="9:9" ht="15" customHeight="1" x14ac:dyDescent="0.35">
      <c r="I192" s="2" t="str">
        <f t="shared" si="5"/>
        <v/>
      </c>
    </row>
    <row r="193" spans="9:9" ht="15" customHeight="1" x14ac:dyDescent="0.35">
      <c r="I193" s="2" t="str">
        <f t="shared" si="5"/>
        <v/>
      </c>
    </row>
    <row r="194" spans="9:9" ht="15" customHeight="1" x14ac:dyDescent="0.35">
      <c r="I194" s="2" t="str">
        <f t="shared" si="5"/>
        <v/>
      </c>
    </row>
    <row r="195" spans="9:9" ht="15" customHeight="1" x14ac:dyDescent="0.35">
      <c r="I195" s="2" t="str">
        <f t="shared" si="5"/>
        <v/>
      </c>
    </row>
    <row r="196" spans="9:9" ht="15" customHeight="1" x14ac:dyDescent="0.35">
      <c r="I196" s="2" t="str">
        <f t="shared" si="5"/>
        <v/>
      </c>
    </row>
    <row r="197" spans="9:9" ht="15" customHeight="1" x14ac:dyDescent="0.35">
      <c r="I197" s="2" t="str">
        <f t="shared" si="5"/>
        <v/>
      </c>
    </row>
    <row r="198" spans="9:9" ht="15" customHeight="1" x14ac:dyDescent="0.35">
      <c r="I198" s="2" t="str">
        <f t="shared" si="5"/>
        <v/>
      </c>
    </row>
    <row r="199" spans="9:9" ht="15" customHeight="1" x14ac:dyDescent="0.35">
      <c r="I199" s="2" t="str">
        <f t="shared" si="5"/>
        <v/>
      </c>
    </row>
    <row r="200" spans="9:9" ht="15" customHeight="1" x14ac:dyDescent="0.35">
      <c r="I200" s="2" t="str">
        <f t="shared" si="5"/>
        <v/>
      </c>
    </row>
  </sheetData>
  <mergeCells count="2">
    <mergeCell ref="A1:G1"/>
    <mergeCell ref="A2:G2"/>
  </mergeCells>
  <conditionalFormatting sqref="I4:I200">
    <cfRule type="expression" dxfId="19" priority="2">
      <formula>AND(I4&lt;&gt;"",I4&lt;&gt;"OK")</formula>
    </cfRule>
    <cfRule type="expression" dxfId="18" priority="3">
      <formula>I4="OK"</formula>
    </cfRule>
  </conditionalFormatting>
  <dataValidations count="5">
    <dataValidation type="list" allowBlank="1" errorTitle="Invalid role" error="Please choose a role from the list." sqref="D4:D200" xr:uid="{00000000-0002-0000-0100-000000000000}">
      <formula1>RolesList</formula1>
      <formula2>0</formula2>
    </dataValidation>
    <dataValidation type="list" allowBlank="1" sqref="H4:H200" xr:uid="{00000000-0002-0000-0100-000001000000}">
      <formula1>BusinessGroupsList</formula1>
      <formula2>0</formula2>
    </dataValidation>
    <dataValidation type="list" allowBlank="1" sqref="E4:E200" xr:uid="{00000000-0002-0000-0100-000002000000}">
      <formula1>RegionsList</formula1>
      <formula2>0</formula2>
    </dataValidation>
    <dataValidation type="list" allowBlank="1" sqref="F4:F200" xr:uid="{00000000-0002-0000-0100-000003000000}">
      <formula1>OutletsList</formula1>
      <formula2>0</formula2>
    </dataValidation>
    <dataValidation type="custom" allowBlank="1" showErrorMessage="1" errorTitle="Invalid email" error="Email must contain an @ symbol." sqref="B4:B200" xr:uid="{00000000-0002-0000-0100-000004000000}">
      <formula1>ISNUMBER(FIND("@",B4))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A4" sqref="A4:A11"/>
    </sheetView>
  </sheetViews>
  <sheetFormatPr defaultColWidth="8.7265625" defaultRowHeight="14.5" x14ac:dyDescent="0.35"/>
  <cols>
    <col min="1" max="1" width="22" style="1" customWidth="1"/>
    <col min="2" max="2" width="10" style="1" customWidth="1"/>
    <col min="3" max="3" width="38" style="1" customWidth="1"/>
    <col min="4" max="4" width="30" style="1" customWidth="1"/>
  </cols>
  <sheetData>
    <row r="1" spans="1:4" s="17" customFormat="1" ht="15" customHeight="1" x14ac:dyDescent="0.35">
      <c r="A1" s="15" t="s">
        <v>17</v>
      </c>
      <c r="B1" s="16"/>
      <c r="C1" s="16"/>
      <c r="D1" s="16"/>
    </row>
    <row r="2" spans="1:4" ht="15" customHeight="1" x14ac:dyDescent="0.35">
      <c r="A2" s="6" t="s">
        <v>59</v>
      </c>
    </row>
    <row r="3" spans="1:4" s="19" customFormat="1" ht="15" customHeight="1" x14ac:dyDescent="0.35">
      <c r="A3" s="18" t="s">
        <v>60</v>
      </c>
      <c r="B3" s="18" t="s">
        <v>61</v>
      </c>
      <c r="C3" s="18" t="s">
        <v>62</v>
      </c>
      <c r="D3" s="18" t="s">
        <v>48</v>
      </c>
    </row>
    <row r="4" spans="1:4" ht="15" customHeight="1" x14ac:dyDescent="0.35">
      <c r="A4" s="30" t="s">
        <v>63</v>
      </c>
      <c r="B4" s="30" t="s">
        <v>64</v>
      </c>
      <c r="C4" s="30" t="s">
        <v>65</v>
      </c>
      <c r="D4" s="2"/>
    </row>
    <row r="5" spans="1:4" ht="15" customHeight="1" x14ac:dyDescent="0.35">
      <c r="A5" s="30" t="s">
        <v>66</v>
      </c>
      <c r="B5" s="30" t="s">
        <v>67</v>
      </c>
      <c r="C5" s="30" t="s">
        <v>68</v>
      </c>
      <c r="D5" s="2"/>
    </row>
    <row r="6" spans="1:4" ht="15" customHeight="1" x14ac:dyDescent="0.35">
      <c r="A6" s="30" t="s">
        <v>69</v>
      </c>
      <c r="B6" s="30" t="s">
        <v>70</v>
      </c>
      <c r="C6" s="30" t="s">
        <v>71</v>
      </c>
      <c r="D6" s="2"/>
    </row>
    <row r="7" spans="1:4" ht="15" customHeight="1" x14ac:dyDescent="0.35">
      <c r="A7" s="30" t="s">
        <v>58</v>
      </c>
      <c r="B7" s="30" t="s">
        <v>72</v>
      </c>
      <c r="C7" s="30" t="s">
        <v>73</v>
      </c>
      <c r="D7" s="2"/>
    </row>
    <row r="8" spans="1:4" ht="15" customHeight="1" x14ac:dyDescent="0.35">
      <c r="A8" s="30" t="s">
        <v>74</v>
      </c>
      <c r="B8" s="30" t="s">
        <v>75</v>
      </c>
      <c r="C8" s="30" t="s">
        <v>76</v>
      </c>
      <c r="D8" s="2"/>
    </row>
    <row r="9" spans="1:4" ht="15" customHeight="1" x14ac:dyDescent="0.35">
      <c r="A9" s="30" t="s">
        <v>77</v>
      </c>
      <c r="B9" s="30" t="s">
        <v>78</v>
      </c>
      <c r="C9" s="30" t="s">
        <v>79</v>
      </c>
      <c r="D9" s="2"/>
    </row>
    <row r="10" spans="1:4" ht="15" customHeight="1" x14ac:dyDescent="0.35">
      <c r="A10" s="30" t="s">
        <v>80</v>
      </c>
      <c r="B10" s="30" t="s">
        <v>81</v>
      </c>
      <c r="C10" s="30" t="s">
        <v>82</v>
      </c>
      <c r="D10" s="2"/>
    </row>
    <row r="11" spans="1:4" ht="15" customHeight="1" x14ac:dyDescent="0.35">
      <c r="A11" s="30" t="s">
        <v>83</v>
      </c>
      <c r="B11" s="30" t="s">
        <v>84</v>
      </c>
      <c r="C11" s="30" t="s">
        <v>85</v>
      </c>
      <c r="D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"/>
  <sheetViews>
    <sheetView workbookViewId="0">
      <selection activeCell="B8" sqref="B8"/>
    </sheetView>
  </sheetViews>
  <sheetFormatPr defaultColWidth="8.7265625" defaultRowHeight="14.5" x14ac:dyDescent="0.35"/>
  <cols>
    <col min="1" max="1" width="14" style="1" customWidth="1"/>
    <col min="2" max="2" width="18" style="1" customWidth="1"/>
    <col min="3" max="3" width="20.453125" style="1" customWidth="1"/>
    <col min="4" max="4" width="15.453125" style="1" customWidth="1"/>
    <col min="5" max="5" width="24" style="1" customWidth="1"/>
    <col min="6" max="6" width="16" style="1" customWidth="1"/>
    <col min="7" max="7" width="14" style="1" customWidth="1"/>
    <col min="8" max="8" width="18" style="1" customWidth="1"/>
    <col min="9" max="9" width="26" style="1" customWidth="1"/>
    <col min="10" max="10" width="34" style="1" customWidth="1"/>
    <col min="11" max="11" width="30" style="1" customWidth="1"/>
    <col min="12" max="12" width="16" style="1" customWidth="1"/>
    <col min="13" max="13" width="26" style="1" customWidth="1"/>
    <col min="14" max="14" width="32" style="1" customWidth="1"/>
  </cols>
  <sheetData>
    <row r="1" spans="1:14" s="17" customFormat="1" ht="15" customHeight="1" x14ac:dyDescent="0.35">
      <c r="A1" s="15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5" customHeight="1" x14ac:dyDescent="0.35">
      <c r="A2" s="6" t="s">
        <v>86</v>
      </c>
    </row>
    <row r="3" spans="1:14" ht="15" customHeight="1" x14ac:dyDescent="0.35">
      <c r="A3" s="33" t="s">
        <v>87</v>
      </c>
      <c r="B3" s="33" t="s">
        <v>88</v>
      </c>
      <c r="C3" s="33" t="s">
        <v>89</v>
      </c>
      <c r="D3" s="33" t="s">
        <v>90</v>
      </c>
      <c r="E3" s="33" t="s">
        <v>91</v>
      </c>
      <c r="F3" s="33" t="s">
        <v>92</v>
      </c>
      <c r="G3" s="33" t="s">
        <v>93</v>
      </c>
      <c r="H3" s="33" t="s">
        <v>94</v>
      </c>
      <c r="I3" s="33" t="s">
        <v>95</v>
      </c>
      <c r="J3" s="33" t="s">
        <v>96</v>
      </c>
      <c r="K3" s="33" t="s">
        <v>97</v>
      </c>
      <c r="L3" s="33" t="s">
        <v>98</v>
      </c>
      <c r="M3" s="33" t="s">
        <v>48</v>
      </c>
      <c r="N3" s="33" t="s">
        <v>50</v>
      </c>
    </row>
    <row r="4" spans="1:14" ht="15" customHeight="1" x14ac:dyDescent="0.35">
      <c r="A4" s="34">
        <v>46251</v>
      </c>
      <c r="B4" s="35" t="s">
        <v>51</v>
      </c>
      <c r="C4" s="35" t="s">
        <v>63</v>
      </c>
      <c r="D4" s="35" t="s">
        <v>55</v>
      </c>
      <c r="E4" s="35" t="s">
        <v>56</v>
      </c>
      <c r="F4" s="35" t="s">
        <v>99</v>
      </c>
      <c r="G4" s="35" t="s">
        <v>100</v>
      </c>
      <c r="H4" s="35" t="s">
        <v>101</v>
      </c>
      <c r="I4" s="35" t="s">
        <v>102</v>
      </c>
      <c r="J4" s="35" t="s">
        <v>103</v>
      </c>
      <c r="K4" s="35" t="s">
        <v>104</v>
      </c>
      <c r="L4" s="35" t="s">
        <v>105</v>
      </c>
      <c r="M4" s="35" t="s">
        <v>106</v>
      </c>
      <c r="N4" s="35" t="str">
        <f t="shared" ref="N4:N35" si="0">IF($A4="","",IF(OR($A4="",$B4="",$C4="",$D4="",$E4="",$F4="",$G4="",$J4=""),"Missing required field",IF(NOT(ISNUMBER($A4)),"Visit Date must be a date","OK")))</f>
        <v>OK</v>
      </c>
    </row>
    <row r="5" spans="1:14" ht="15" customHeight="1" x14ac:dyDescent="0.35">
      <c r="N5" s="2" t="str">
        <f t="shared" si="0"/>
        <v/>
      </c>
    </row>
    <row r="6" spans="1:14" ht="15" customHeight="1" x14ac:dyDescent="0.35">
      <c r="N6" s="2" t="str">
        <f t="shared" si="0"/>
        <v/>
      </c>
    </row>
    <row r="7" spans="1:14" ht="15" customHeight="1" x14ac:dyDescent="0.35">
      <c r="N7" s="2" t="str">
        <f t="shared" si="0"/>
        <v/>
      </c>
    </row>
    <row r="8" spans="1:14" ht="15" customHeight="1" x14ac:dyDescent="0.35">
      <c r="N8" s="2" t="str">
        <f t="shared" si="0"/>
        <v/>
      </c>
    </row>
    <row r="9" spans="1:14" ht="15" customHeight="1" x14ac:dyDescent="0.35">
      <c r="N9" s="2" t="str">
        <f t="shared" si="0"/>
        <v/>
      </c>
    </row>
    <row r="10" spans="1:14" ht="15" customHeight="1" x14ac:dyDescent="0.35">
      <c r="N10" s="2" t="str">
        <f t="shared" si="0"/>
        <v/>
      </c>
    </row>
    <row r="11" spans="1:14" ht="15" customHeight="1" x14ac:dyDescent="0.35">
      <c r="N11" s="2" t="str">
        <f t="shared" si="0"/>
        <v/>
      </c>
    </row>
    <row r="12" spans="1:14" ht="15" customHeight="1" x14ac:dyDescent="0.35">
      <c r="N12" s="2" t="str">
        <f t="shared" si="0"/>
        <v/>
      </c>
    </row>
    <row r="13" spans="1:14" ht="15" customHeight="1" x14ac:dyDescent="0.35">
      <c r="N13" s="2" t="str">
        <f t="shared" si="0"/>
        <v/>
      </c>
    </row>
    <row r="14" spans="1:14" ht="15" customHeight="1" x14ac:dyDescent="0.35">
      <c r="N14" s="2" t="str">
        <f t="shared" si="0"/>
        <v/>
      </c>
    </row>
    <row r="15" spans="1:14" ht="15" customHeight="1" x14ac:dyDescent="0.35">
      <c r="N15" s="2" t="str">
        <f t="shared" si="0"/>
        <v/>
      </c>
    </row>
    <row r="16" spans="1:14" ht="15" customHeight="1" x14ac:dyDescent="0.35">
      <c r="N16" s="2" t="str">
        <f t="shared" si="0"/>
        <v/>
      </c>
    </row>
    <row r="17" spans="14:14" ht="15" customHeight="1" x14ac:dyDescent="0.35">
      <c r="N17" s="2" t="str">
        <f t="shared" si="0"/>
        <v/>
      </c>
    </row>
    <row r="18" spans="14:14" ht="15" customHeight="1" x14ac:dyDescent="0.35">
      <c r="N18" s="2" t="str">
        <f t="shared" si="0"/>
        <v/>
      </c>
    </row>
    <row r="19" spans="14:14" ht="15" customHeight="1" x14ac:dyDescent="0.35">
      <c r="N19" s="2" t="str">
        <f t="shared" si="0"/>
        <v/>
      </c>
    </row>
    <row r="20" spans="14:14" ht="15" customHeight="1" x14ac:dyDescent="0.35">
      <c r="N20" s="2" t="str">
        <f t="shared" si="0"/>
        <v/>
      </c>
    </row>
    <row r="21" spans="14:14" ht="15" customHeight="1" x14ac:dyDescent="0.35">
      <c r="N21" s="2" t="str">
        <f t="shared" si="0"/>
        <v/>
      </c>
    </row>
    <row r="22" spans="14:14" ht="15" customHeight="1" x14ac:dyDescent="0.35">
      <c r="N22" s="2" t="str">
        <f t="shared" si="0"/>
        <v/>
      </c>
    </row>
    <row r="23" spans="14:14" ht="15" customHeight="1" x14ac:dyDescent="0.35">
      <c r="N23" s="2" t="str">
        <f t="shared" si="0"/>
        <v/>
      </c>
    </row>
    <row r="24" spans="14:14" ht="15" customHeight="1" x14ac:dyDescent="0.35">
      <c r="N24" s="2" t="str">
        <f t="shared" si="0"/>
        <v/>
      </c>
    </row>
    <row r="25" spans="14:14" ht="15" customHeight="1" x14ac:dyDescent="0.35">
      <c r="N25" s="2" t="str">
        <f t="shared" si="0"/>
        <v/>
      </c>
    </row>
    <row r="26" spans="14:14" ht="15" customHeight="1" x14ac:dyDescent="0.35">
      <c r="N26" s="2" t="str">
        <f t="shared" si="0"/>
        <v/>
      </c>
    </row>
    <row r="27" spans="14:14" ht="15" customHeight="1" x14ac:dyDescent="0.35">
      <c r="N27" s="2" t="str">
        <f t="shared" si="0"/>
        <v/>
      </c>
    </row>
    <row r="28" spans="14:14" ht="15" customHeight="1" x14ac:dyDescent="0.35">
      <c r="N28" s="2" t="str">
        <f t="shared" si="0"/>
        <v/>
      </c>
    </row>
    <row r="29" spans="14:14" ht="15" customHeight="1" x14ac:dyDescent="0.35">
      <c r="N29" s="2" t="str">
        <f t="shared" si="0"/>
        <v/>
      </c>
    </row>
    <row r="30" spans="14:14" ht="15" customHeight="1" x14ac:dyDescent="0.35">
      <c r="N30" s="2" t="str">
        <f t="shared" si="0"/>
        <v/>
      </c>
    </row>
    <row r="31" spans="14:14" ht="15" customHeight="1" x14ac:dyDescent="0.35">
      <c r="N31" s="2" t="str">
        <f t="shared" si="0"/>
        <v/>
      </c>
    </row>
    <row r="32" spans="14:14" ht="15" customHeight="1" x14ac:dyDescent="0.35">
      <c r="N32" s="2" t="str">
        <f t="shared" si="0"/>
        <v/>
      </c>
    </row>
    <row r="33" spans="14:14" ht="15" customHeight="1" x14ac:dyDescent="0.35">
      <c r="N33" s="2" t="str">
        <f t="shared" si="0"/>
        <v/>
      </c>
    </row>
    <row r="34" spans="14:14" ht="15" customHeight="1" x14ac:dyDescent="0.35">
      <c r="N34" s="2" t="str">
        <f t="shared" si="0"/>
        <v/>
      </c>
    </row>
    <row r="35" spans="14:14" ht="15" customHeight="1" x14ac:dyDescent="0.35">
      <c r="N35" s="2" t="str">
        <f t="shared" si="0"/>
        <v/>
      </c>
    </row>
    <row r="36" spans="14:14" ht="15" customHeight="1" x14ac:dyDescent="0.35">
      <c r="N36" s="2" t="str">
        <f t="shared" ref="N36:N67" si="1">IF($A36="","",IF(OR($A36="",$B36="",$C36="",$D36="",$E36="",$F36="",$G36="",$J36=""),"Missing required field",IF(NOT(ISNUMBER($A36)),"Visit Date must be a date","OK")))</f>
        <v/>
      </c>
    </row>
    <row r="37" spans="14:14" ht="15" customHeight="1" x14ac:dyDescent="0.35">
      <c r="N37" s="2" t="str">
        <f t="shared" si="1"/>
        <v/>
      </c>
    </row>
    <row r="38" spans="14:14" ht="15" customHeight="1" x14ac:dyDescent="0.35">
      <c r="N38" s="2" t="str">
        <f t="shared" si="1"/>
        <v/>
      </c>
    </row>
    <row r="39" spans="14:14" ht="15" customHeight="1" x14ac:dyDescent="0.35">
      <c r="N39" s="2" t="str">
        <f t="shared" si="1"/>
        <v/>
      </c>
    </row>
    <row r="40" spans="14:14" ht="15" customHeight="1" x14ac:dyDescent="0.35">
      <c r="N40" s="2" t="str">
        <f t="shared" si="1"/>
        <v/>
      </c>
    </row>
    <row r="41" spans="14:14" ht="15" customHeight="1" x14ac:dyDescent="0.35">
      <c r="N41" s="2" t="str">
        <f t="shared" si="1"/>
        <v/>
      </c>
    </row>
    <row r="42" spans="14:14" ht="15" customHeight="1" x14ac:dyDescent="0.35">
      <c r="N42" s="2" t="str">
        <f t="shared" si="1"/>
        <v/>
      </c>
    </row>
    <row r="43" spans="14:14" ht="15" customHeight="1" x14ac:dyDescent="0.35">
      <c r="N43" s="2" t="str">
        <f t="shared" si="1"/>
        <v/>
      </c>
    </row>
    <row r="44" spans="14:14" ht="15" customHeight="1" x14ac:dyDescent="0.35">
      <c r="N44" s="2" t="str">
        <f t="shared" si="1"/>
        <v/>
      </c>
    </row>
    <row r="45" spans="14:14" ht="15" customHeight="1" x14ac:dyDescent="0.35">
      <c r="N45" s="2" t="str">
        <f t="shared" si="1"/>
        <v/>
      </c>
    </row>
    <row r="46" spans="14:14" ht="15" customHeight="1" x14ac:dyDescent="0.35">
      <c r="N46" s="2" t="str">
        <f t="shared" si="1"/>
        <v/>
      </c>
    </row>
    <row r="47" spans="14:14" ht="15" customHeight="1" x14ac:dyDescent="0.35">
      <c r="N47" s="2" t="str">
        <f t="shared" si="1"/>
        <v/>
      </c>
    </row>
    <row r="48" spans="14:14" ht="15" customHeight="1" x14ac:dyDescent="0.35">
      <c r="N48" s="2" t="str">
        <f t="shared" si="1"/>
        <v/>
      </c>
    </row>
    <row r="49" spans="14:14" ht="15" customHeight="1" x14ac:dyDescent="0.35">
      <c r="N49" s="2" t="str">
        <f t="shared" si="1"/>
        <v/>
      </c>
    </row>
    <row r="50" spans="14:14" ht="15" customHeight="1" x14ac:dyDescent="0.35">
      <c r="N50" s="2" t="str">
        <f t="shared" si="1"/>
        <v/>
      </c>
    </row>
    <row r="51" spans="14:14" ht="15" customHeight="1" x14ac:dyDescent="0.35">
      <c r="N51" s="2" t="str">
        <f t="shared" si="1"/>
        <v/>
      </c>
    </row>
    <row r="52" spans="14:14" ht="15" customHeight="1" x14ac:dyDescent="0.35">
      <c r="N52" s="2" t="str">
        <f t="shared" si="1"/>
        <v/>
      </c>
    </row>
    <row r="53" spans="14:14" ht="15" customHeight="1" x14ac:dyDescent="0.35">
      <c r="N53" s="2" t="str">
        <f t="shared" si="1"/>
        <v/>
      </c>
    </row>
    <row r="54" spans="14:14" ht="15" customHeight="1" x14ac:dyDescent="0.35">
      <c r="N54" s="2" t="str">
        <f t="shared" si="1"/>
        <v/>
      </c>
    </row>
    <row r="55" spans="14:14" ht="15" customHeight="1" x14ac:dyDescent="0.35">
      <c r="N55" s="2" t="str">
        <f t="shared" si="1"/>
        <v/>
      </c>
    </row>
    <row r="56" spans="14:14" ht="15" customHeight="1" x14ac:dyDescent="0.35">
      <c r="N56" s="2" t="str">
        <f t="shared" si="1"/>
        <v/>
      </c>
    </row>
    <row r="57" spans="14:14" ht="15" customHeight="1" x14ac:dyDescent="0.35">
      <c r="N57" s="2" t="str">
        <f t="shared" si="1"/>
        <v/>
      </c>
    </row>
    <row r="58" spans="14:14" ht="15" customHeight="1" x14ac:dyDescent="0.35">
      <c r="N58" s="2" t="str">
        <f t="shared" si="1"/>
        <v/>
      </c>
    </row>
    <row r="59" spans="14:14" ht="15" customHeight="1" x14ac:dyDescent="0.35">
      <c r="N59" s="2" t="str">
        <f t="shared" si="1"/>
        <v/>
      </c>
    </row>
    <row r="60" spans="14:14" ht="15" customHeight="1" x14ac:dyDescent="0.35">
      <c r="N60" s="2" t="str">
        <f t="shared" si="1"/>
        <v/>
      </c>
    </row>
    <row r="61" spans="14:14" ht="15" customHeight="1" x14ac:dyDescent="0.35">
      <c r="N61" s="2" t="str">
        <f t="shared" si="1"/>
        <v/>
      </c>
    </row>
    <row r="62" spans="14:14" ht="15" customHeight="1" x14ac:dyDescent="0.35">
      <c r="N62" s="2" t="str">
        <f t="shared" si="1"/>
        <v/>
      </c>
    </row>
    <row r="63" spans="14:14" ht="15" customHeight="1" x14ac:dyDescent="0.35">
      <c r="N63" s="2" t="str">
        <f t="shared" si="1"/>
        <v/>
      </c>
    </row>
    <row r="64" spans="14:14" ht="15" customHeight="1" x14ac:dyDescent="0.35">
      <c r="N64" s="2" t="str">
        <f t="shared" si="1"/>
        <v/>
      </c>
    </row>
    <row r="65" spans="14:14" ht="15" customHeight="1" x14ac:dyDescent="0.35">
      <c r="N65" s="2" t="str">
        <f t="shared" si="1"/>
        <v/>
      </c>
    </row>
    <row r="66" spans="14:14" ht="15" customHeight="1" x14ac:dyDescent="0.35">
      <c r="N66" s="2" t="str">
        <f t="shared" si="1"/>
        <v/>
      </c>
    </row>
    <row r="67" spans="14:14" ht="15" customHeight="1" x14ac:dyDescent="0.35">
      <c r="N67" s="2" t="str">
        <f t="shared" si="1"/>
        <v/>
      </c>
    </row>
    <row r="68" spans="14:14" ht="15" customHeight="1" x14ac:dyDescent="0.35">
      <c r="N68" s="2" t="str">
        <f t="shared" ref="N68:N99" si="2">IF($A68="","",IF(OR($A68="",$B68="",$C68="",$D68="",$E68="",$F68="",$G68="",$J68=""),"Missing required field",IF(NOT(ISNUMBER($A68)),"Visit Date must be a date","OK")))</f>
        <v/>
      </c>
    </row>
    <row r="69" spans="14:14" ht="15" customHeight="1" x14ac:dyDescent="0.35">
      <c r="N69" s="2" t="str">
        <f t="shared" si="2"/>
        <v/>
      </c>
    </row>
    <row r="70" spans="14:14" ht="15" customHeight="1" x14ac:dyDescent="0.35">
      <c r="N70" s="2" t="str">
        <f t="shared" si="2"/>
        <v/>
      </c>
    </row>
    <row r="71" spans="14:14" ht="15" customHeight="1" x14ac:dyDescent="0.35">
      <c r="N71" s="2" t="str">
        <f t="shared" si="2"/>
        <v/>
      </c>
    </row>
    <row r="72" spans="14:14" ht="15" customHeight="1" x14ac:dyDescent="0.35">
      <c r="N72" s="2" t="str">
        <f t="shared" si="2"/>
        <v/>
      </c>
    </row>
    <row r="73" spans="14:14" ht="15" customHeight="1" x14ac:dyDescent="0.35">
      <c r="N73" s="2" t="str">
        <f t="shared" si="2"/>
        <v/>
      </c>
    </row>
    <row r="74" spans="14:14" ht="15" customHeight="1" x14ac:dyDescent="0.35">
      <c r="N74" s="2" t="str">
        <f t="shared" si="2"/>
        <v/>
      </c>
    </row>
    <row r="75" spans="14:14" ht="15" customHeight="1" x14ac:dyDescent="0.35">
      <c r="N75" s="2" t="str">
        <f t="shared" si="2"/>
        <v/>
      </c>
    </row>
    <row r="76" spans="14:14" ht="15" customHeight="1" x14ac:dyDescent="0.35">
      <c r="N76" s="2" t="str">
        <f t="shared" si="2"/>
        <v/>
      </c>
    </row>
    <row r="77" spans="14:14" ht="15" customHeight="1" x14ac:dyDescent="0.35">
      <c r="N77" s="2" t="str">
        <f t="shared" si="2"/>
        <v/>
      </c>
    </row>
    <row r="78" spans="14:14" ht="15" customHeight="1" x14ac:dyDescent="0.35">
      <c r="N78" s="2" t="str">
        <f t="shared" si="2"/>
        <v/>
      </c>
    </row>
    <row r="79" spans="14:14" ht="15" customHeight="1" x14ac:dyDescent="0.35">
      <c r="N79" s="2" t="str">
        <f t="shared" si="2"/>
        <v/>
      </c>
    </row>
    <row r="80" spans="14:14" ht="15" customHeight="1" x14ac:dyDescent="0.35">
      <c r="N80" s="2" t="str">
        <f t="shared" si="2"/>
        <v/>
      </c>
    </row>
    <row r="81" spans="14:14" ht="15" customHeight="1" x14ac:dyDescent="0.35">
      <c r="N81" s="2" t="str">
        <f t="shared" si="2"/>
        <v/>
      </c>
    </row>
    <row r="82" spans="14:14" ht="15" customHeight="1" x14ac:dyDescent="0.35">
      <c r="N82" s="2" t="str">
        <f t="shared" si="2"/>
        <v/>
      </c>
    </row>
    <row r="83" spans="14:14" ht="15" customHeight="1" x14ac:dyDescent="0.35">
      <c r="N83" s="2" t="str">
        <f t="shared" si="2"/>
        <v/>
      </c>
    </row>
    <row r="84" spans="14:14" ht="15" customHeight="1" x14ac:dyDescent="0.35">
      <c r="N84" s="2" t="str">
        <f t="shared" si="2"/>
        <v/>
      </c>
    </row>
    <row r="85" spans="14:14" ht="15" customHeight="1" x14ac:dyDescent="0.35">
      <c r="N85" s="2" t="str">
        <f t="shared" si="2"/>
        <v/>
      </c>
    </row>
    <row r="86" spans="14:14" ht="15" customHeight="1" x14ac:dyDescent="0.35">
      <c r="N86" s="2" t="str">
        <f t="shared" si="2"/>
        <v/>
      </c>
    </row>
    <row r="87" spans="14:14" ht="15" customHeight="1" x14ac:dyDescent="0.35">
      <c r="N87" s="2" t="str">
        <f t="shared" si="2"/>
        <v/>
      </c>
    </row>
    <row r="88" spans="14:14" ht="15" customHeight="1" x14ac:dyDescent="0.35">
      <c r="N88" s="2" t="str">
        <f t="shared" si="2"/>
        <v/>
      </c>
    </row>
    <row r="89" spans="14:14" ht="15" customHeight="1" x14ac:dyDescent="0.35">
      <c r="N89" s="2" t="str">
        <f t="shared" si="2"/>
        <v/>
      </c>
    </row>
    <row r="90" spans="14:14" ht="15" customHeight="1" x14ac:dyDescent="0.35">
      <c r="N90" s="2" t="str">
        <f t="shared" si="2"/>
        <v/>
      </c>
    </row>
    <row r="91" spans="14:14" ht="15" customHeight="1" x14ac:dyDescent="0.35">
      <c r="N91" s="2" t="str">
        <f t="shared" si="2"/>
        <v/>
      </c>
    </row>
    <row r="92" spans="14:14" ht="15" customHeight="1" x14ac:dyDescent="0.35">
      <c r="N92" s="2" t="str">
        <f t="shared" si="2"/>
        <v/>
      </c>
    </row>
    <row r="93" spans="14:14" ht="15" customHeight="1" x14ac:dyDescent="0.35">
      <c r="N93" s="2" t="str">
        <f t="shared" si="2"/>
        <v/>
      </c>
    </row>
    <row r="94" spans="14:14" ht="15" customHeight="1" x14ac:dyDescent="0.35">
      <c r="N94" s="2" t="str">
        <f t="shared" si="2"/>
        <v/>
      </c>
    </row>
    <row r="95" spans="14:14" ht="15" customHeight="1" x14ac:dyDescent="0.35">
      <c r="N95" s="2" t="str">
        <f t="shared" si="2"/>
        <v/>
      </c>
    </row>
    <row r="96" spans="14:14" ht="15" customHeight="1" x14ac:dyDescent="0.35">
      <c r="N96" s="2" t="str">
        <f t="shared" si="2"/>
        <v/>
      </c>
    </row>
    <row r="97" spans="14:14" ht="15" customHeight="1" x14ac:dyDescent="0.35">
      <c r="N97" s="2" t="str">
        <f t="shared" si="2"/>
        <v/>
      </c>
    </row>
    <row r="98" spans="14:14" ht="15" customHeight="1" x14ac:dyDescent="0.35">
      <c r="N98" s="2" t="str">
        <f t="shared" si="2"/>
        <v/>
      </c>
    </row>
    <row r="99" spans="14:14" ht="15" customHeight="1" x14ac:dyDescent="0.35">
      <c r="N99" s="2" t="str">
        <f t="shared" si="2"/>
        <v/>
      </c>
    </row>
    <row r="100" spans="14:14" ht="15" customHeight="1" x14ac:dyDescent="0.35">
      <c r="N100" s="2" t="str">
        <f t="shared" ref="N100:N131" si="3">IF($A100="","",IF(OR($A100="",$B100="",$C100="",$D100="",$E100="",$F100="",$G100="",$J100=""),"Missing required field",IF(NOT(ISNUMBER($A100)),"Visit Date must be a date","OK")))</f>
        <v/>
      </c>
    </row>
    <row r="101" spans="14:14" ht="15" customHeight="1" x14ac:dyDescent="0.35">
      <c r="N101" s="2" t="str">
        <f t="shared" si="3"/>
        <v/>
      </c>
    </row>
    <row r="102" spans="14:14" ht="15" customHeight="1" x14ac:dyDescent="0.35">
      <c r="N102" s="2" t="str">
        <f t="shared" si="3"/>
        <v/>
      </c>
    </row>
    <row r="103" spans="14:14" ht="15" customHeight="1" x14ac:dyDescent="0.35">
      <c r="N103" s="2" t="str">
        <f t="shared" si="3"/>
        <v/>
      </c>
    </row>
    <row r="104" spans="14:14" ht="15" customHeight="1" x14ac:dyDescent="0.35">
      <c r="N104" s="2" t="str">
        <f t="shared" si="3"/>
        <v/>
      </c>
    </row>
    <row r="105" spans="14:14" ht="15" customHeight="1" x14ac:dyDescent="0.35">
      <c r="N105" s="2" t="str">
        <f t="shared" si="3"/>
        <v/>
      </c>
    </row>
    <row r="106" spans="14:14" ht="15" customHeight="1" x14ac:dyDescent="0.35">
      <c r="N106" s="2" t="str">
        <f t="shared" si="3"/>
        <v/>
      </c>
    </row>
    <row r="107" spans="14:14" ht="15" customHeight="1" x14ac:dyDescent="0.35">
      <c r="N107" s="2" t="str">
        <f t="shared" si="3"/>
        <v/>
      </c>
    </row>
    <row r="108" spans="14:14" ht="15" customHeight="1" x14ac:dyDescent="0.35">
      <c r="N108" s="2" t="str">
        <f t="shared" si="3"/>
        <v/>
      </c>
    </row>
    <row r="109" spans="14:14" ht="15" customHeight="1" x14ac:dyDescent="0.35">
      <c r="N109" s="2" t="str">
        <f t="shared" si="3"/>
        <v/>
      </c>
    </row>
    <row r="110" spans="14:14" ht="15" customHeight="1" x14ac:dyDescent="0.35">
      <c r="N110" s="2" t="str">
        <f t="shared" si="3"/>
        <v/>
      </c>
    </row>
    <row r="111" spans="14:14" ht="15" customHeight="1" x14ac:dyDescent="0.35">
      <c r="N111" s="2" t="str">
        <f t="shared" si="3"/>
        <v/>
      </c>
    </row>
    <row r="112" spans="14:14" ht="15" customHeight="1" x14ac:dyDescent="0.35">
      <c r="N112" s="2" t="str">
        <f t="shared" si="3"/>
        <v/>
      </c>
    </row>
    <row r="113" spans="14:14" ht="15" customHeight="1" x14ac:dyDescent="0.35">
      <c r="N113" s="2" t="str">
        <f t="shared" si="3"/>
        <v/>
      </c>
    </row>
    <row r="114" spans="14:14" ht="15" customHeight="1" x14ac:dyDescent="0.35">
      <c r="N114" s="2" t="str">
        <f t="shared" si="3"/>
        <v/>
      </c>
    </row>
    <row r="115" spans="14:14" ht="15" customHeight="1" x14ac:dyDescent="0.35">
      <c r="N115" s="2" t="str">
        <f t="shared" si="3"/>
        <v/>
      </c>
    </row>
    <row r="116" spans="14:14" ht="15" customHeight="1" x14ac:dyDescent="0.35">
      <c r="N116" s="2" t="str">
        <f t="shared" si="3"/>
        <v/>
      </c>
    </row>
    <row r="117" spans="14:14" ht="15" customHeight="1" x14ac:dyDescent="0.35">
      <c r="N117" s="2" t="str">
        <f t="shared" si="3"/>
        <v/>
      </c>
    </row>
    <row r="118" spans="14:14" ht="15" customHeight="1" x14ac:dyDescent="0.35">
      <c r="N118" s="2" t="str">
        <f t="shared" si="3"/>
        <v/>
      </c>
    </row>
    <row r="119" spans="14:14" ht="15" customHeight="1" x14ac:dyDescent="0.35">
      <c r="N119" s="2" t="str">
        <f t="shared" si="3"/>
        <v/>
      </c>
    </row>
    <row r="120" spans="14:14" ht="15" customHeight="1" x14ac:dyDescent="0.35">
      <c r="N120" s="2" t="str">
        <f t="shared" si="3"/>
        <v/>
      </c>
    </row>
    <row r="121" spans="14:14" ht="15" customHeight="1" x14ac:dyDescent="0.35">
      <c r="N121" s="2" t="str">
        <f t="shared" si="3"/>
        <v/>
      </c>
    </row>
    <row r="122" spans="14:14" ht="15" customHeight="1" x14ac:dyDescent="0.35">
      <c r="N122" s="2" t="str">
        <f t="shared" si="3"/>
        <v/>
      </c>
    </row>
    <row r="123" spans="14:14" ht="15" customHeight="1" x14ac:dyDescent="0.35">
      <c r="N123" s="2" t="str">
        <f t="shared" si="3"/>
        <v/>
      </c>
    </row>
    <row r="124" spans="14:14" ht="15" customHeight="1" x14ac:dyDescent="0.35">
      <c r="N124" s="2" t="str">
        <f t="shared" si="3"/>
        <v/>
      </c>
    </row>
    <row r="125" spans="14:14" ht="15" customHeight="1" x14ac:dyDescent="0.35">
      <c r="N125" s="2" t="str">
        <f t="shared" si="3"/>
        <v/>
      </c>
    </row>
    <row r="126" spans="14:14" ht="15" customHeight="1" x14ac:dyDescent="0.35">
      <c r="N126" s="2" t="str">
        <f t="shared" si="3"/>
        <v/>
      </c>
    </row>
    <row r="127" spans="14:14" ht="15" customHeight="1" x14ac:dyDescent="0.35">
      <c r="N127" s="2" t="str">
        <f t="shared" si="3"/>
        <v/>
      </c>
    </row>
    <row r="128" spans="14:14" ht="15" customHeight="1" x14ac:dyDescent="0.35">
      <c r="N128" s="2" t="str">
        <f t="shared" si="3"/>
        <v/>
      </c>
    </row>
    <row r="129" spans="14:14" ht="15" customHeight="1" x14ac:dyDescent="0.35">
      <c r="N129" s="2" t="str">
        <f t="shared" si="3"/>
        <v/>
      </c>
    </row>
    <row r="130" spans="14:14" ht="15" customHeight="1" x14ac:dyDescent="0.35">
      <c r="N130" s="2" t="str">
        <f t="shared" si="3"/>
        <v/>
      </c>
    </row>
    <row r="131" spans="14:14" ht="15" customHeight="1" x14ac:dyDescent="0.35">
      <c r="N131" s="2" t="str">
        <f t="shared" si="3"/>
        <v/>
      </c>
    </row>
    <row r="132" spans="14:14" ht="15" customHeight="1" x14ac:dyDescent="0.35">
      <c r="N132" s="2" t="str">
        <f t="shared" ref="N132:N163" si="4">IF($A132="","",IF(OR($A132="",$B132="",$C132="",$D132="",$E132="",$F132="",$G132="",$J132=""),"Missing required field",IF(NOT(ISNUMBER($A132)),"Visit Date must be a date","OK")))</f>
        <v/>
      </c>
    </row>
    <row r="133" spans="14:14" ht="15" customHeight="1" x14ac:dyDescent="0.35">
      <c r="N133" s="2" t="str">
        <f t="shared" si="4"/>
        <v/>
      </c>
    </row>
    <row r="134" spans="14:14" ht="15" customHeight="1" x14ac:dyDescent="0.35">
      <c r="N134" s="2" t="str">
        <f t="shared" si="4"/>
        <v/>
      </c>
    </row>
    <row r="135" spans="14:14" ht="15" customHeight="1" x14ac:dyDescent="0.35">
      <c r="N135" s="2" t="str">
        <f t="shared" si="4"/>
        <v/>
      </c>
    </row>
    <row r="136" spans="14:14" ht="15" customHeight="1" x14ac:dyDescent="0.35">
      <c r="N136" s="2" t="str">
        <f t="shared" si="4"/>
        <v/>
      </c>
    </row>
    <row r="137" spans="14:14" ht="15" customHeight="1" x14ac:dyDescent="0.35">
      <c r="N137" s="2" t="str">
        <f t="shared" si="4"/>
        <v/>
      </c>
    </row>
    <row r="138" spans="14:14" ht="15" customHeight="1" x14ac:dyDescent="0.35">
      <c r="N138" s="2" t="str">
        <f t="shared" si="4"/>
        <v/>
      </c>
    </row>
    <row r="139" spans="14:14" ht="15" customHeight="1" x14ac:dyDescent="0.35">
      <c r="N139" s="2" t="str">
        <f t="shared" si="4"/>
        <v/>
      </c>
    </row>
    <row r="140" spans="14:14" ht="15" customHeight="1" x14ac:dyDescent="0.35">
      <c r="N140" s="2" t="str">
        <f t="shared" si="4"/>
        <v/>
      </c>
    </row>
    <row r="141" spans="14:14" ht="15" customHeight="1" x14ac:dyDescent="0.35">
      <c r="N141" s="2" t="str">
        <f t="shared" si="4"/>
        <v/>
      </c>
    </row>
    <row r="142" spans="14:14" ht="15" customHeight="1" x14ac:dyDescent="0.35">
      <c r="N142" s="2" t="str">
        <f t="shared" si="4"/>
        <v/>
      </c>
    </row>
    <row r="143" spans="14:14" ht="15" customHeight="1" x14ac:dyDescent="0.35">
      <c r="N143" s="2" t="str">
        <f t="shared" si="4"/>
        <v/>
      </c>
    </row>
    <row r="144" spans="14:14" ht="15" customHeight="1" x14ac:dyDescent="0.35">
      <c r="N144" s="2" t="str">
        <f t="shared" si="4"/>
        <v/>
      </c>
    </row>
    <row r="145" spans="14:14" ht="15" customHeight="1" x14ac:dyDescent="0.35">
      <c r="N145" s="2" t="str">
        <f t="shared" si="4"/>
        <v/>
      </c>
    </row>
    <row r="146" spans="14:14" ht="15" customHeight="1" x14ac:dyDescent="0.35">
      <c r="N146" s="2" t="str">
        <f t="shared" si="4"/>
        <v/>
      </c>
    </row>
    <row r="147" spans="14:14" ht="15" customHeight="1" x14ac:dyDescent="0.35">
      <c r="N147" s="2" t="str">
        <f t="shared" si="4"/>
        <v/>
      </c>
    </row>
    <row r="148" spans="14:14" ht="15" customHeight="1" x14ac:dyDescent="0.35">
      <c r="N148" s="2" t="str">
        <f t="shared" si="4"/>
        <v/>
      </c>
    </row>
    <row r="149" spans="14:14" ht="15" customHeight="1" x14ac:dyDescent="0.35">
      <c r="N149" s="2" t="str">
        <f t="shared" si="4"/>
        <v/>
      </c>
    </row>
    <row r="150" spans="14:14" ht="15" customHeight="1" x14ac:dyDescent="0.35">
      <c r="N150" s="2" t="str">
        <f t="shared" si="4"/>
        <v/>
      </c>
    </row>
    <row r="151" spans="14:14" ht="15" customHeight="1" x14ac:dyDescent="0.35">
      <c r="N151" s="2" t="str">
        <f t="shared" si="4"/>
        <v/>
      </c>
    </row>
    <row r="152" spans="14:14" ht="15" customHeight="1" x14ac:dyDescent="0.35">
      <c r="N152" s="2" t="str">
        <f t="shared" si="4"/>
        <v/>
      </c>
    </row>
    <row r="153" spans="14:14" ht="15" customHeight="1" x14ac:dyDescent="0.35">
      <c r="N153" s="2" t="str">
        <f t="shared" si="4"/>
        <v/>
      </c>
    </row>
    <row r="154" spans="14:14" ht="15" customHeight="1" x14ac:dyDescent="0.35">
      <c r="N154" s="2" t="str">
        <f t="shared" si="4"/>
        <v/>
      </c>
    </row>
    <row r="155" spans="14:14" ht="15" customHeight="1" x14ac:dyDescent="0.35">
      <c r="N155" s="2" t="str">
        <f t="shared" si="4"/>
        <v/>
      </c>
    </row>
    <row r="156" spans="14:14" ht="15" customHeight="1" x14ac:dyDescent="0.35">
      <c r="N156" s="2" t="str">
        <f t="shared" si="4"/>
        <v/>
      </c>
    </row>
    <row r="157" spans="14:14" ht="15" customHeight="1" x14ac:dyDescent="0.35">
      <c r="N157" s="2" t="str">
        <f t="shared" si="4"/>
        <v/>
      </c>
    </row>
    <row r="158" spans="14:14" ht="15" customHeight="1" x14ac:dyDescent="0.35">
      <c r="N158" s="2" t="str">
        <f t="shared" si="4"/>
        <v/>
      </c>
    </row>
    <row r="159" spans="14:14" ht="15" customHeight="1" x14ac:dyDescent="0.35">
      <c r="N159" s="2" t="str">
        <f t="shared" si="4"/>
        <v/>
      </c>
    </row>
    <row r="160" spans="14:14" ht="15" customHeight="1" x14ac:dyDescent="0.35">
      <c r="N160" s="2" t="str">
        <f t="shared" si="4"/>
        <v/>
      </c>
    </row>
    <row r="161" spans="14:14" ht="15" customHeight="1" x14ac:dyDescent="0.35">
      <c r="N161" s="2" t="str">
        <f t="shared" si="4"/>
        <v/>
      </c>
    </row>
    <row r="162" spans="14:14" ht="15" customHeight="1" x14ac:dyDescent="0.35">
      <c r="N162" s="2" t="str">
        <f t="shared" si="4"/>
        <v/>
      </c>
    </row>
    <row r="163" spans="14:14" ht="15" customHeight="1" x14ac:dyDescent="0.35">
      <c r="N163" s="2" t="str">
        <f t="shared" si="4"/>
        <v/>
      </c>
    </row>
    <row r="164" spans="14:14" ht="15" customHeight="1" x14ac:dyDescent="0.35">
      <c r="N164" s="2" t="str">
        <f t="shared" ref="N164:N200" si="5">IF($A164="","",IF(OR($A164="",$B164="",$C164="",$D164="",$E164="",$F164="",$G164="",$J164=""),"Missing required field",IF(NOT(ISNUMBER($A164)),"Visit Date must be a date","OK")))</f>
        <v/>
      </c>
    </row>
    <row r="165" spans="14:14" ht="15" customHeight="1" x14ac:dyDescent="0.35">
      <c r="N165" s="2" t="str">
        <f t="shared" si="5"/>
        <v/>
      </c>
    </row>
    <row r="166" spans="14:14" ht="15" customHeight="1" x14ac:dyDescent="0.35">
      <c r="N166" s="2" t="str">
        <f t="shared" si="5"/>
        <v/>
      </c>
    </row>
    <row r="167" spans="14:14" ht="15" customHeight="1" x14ac:dyDescent="0.35">
      <c r="N167" s="2" t="str">
        <f t="shared" si="5"/>
        <v/>
      </c>
    </row>
    <row r="168" spans="14:14" ht="15" customHeight="1" x14ac:dyDescent="0.35">
      <c r="N168" s="2" t="str">
        <f t="shared" si="5"/>
        <v/>
      </c>
    </row>
    <row r="169" spans="14:14" ht="15" customHeight="1" x14ac:dyDescent="0.35">
      <c r="N169" s="2" t="str">
        <f t="shared" si="5"/>
        <v/>
      </c>
    </row>
    <row r="170" spans="14:14" ht="15" customHeight="1" x14ac:dyDescent="0.35">
      <c r="N170" s="2" t="str">
        <f t="shared" si="5"/>
        <v/>
      </c>
    </row>
    <row r="171" spans="14:14" ht="15" customHeight="1" x14ac:dyDescent="0.35">
      <c r="N171" s="2" t="str">
        <f t="shared" si="5"/>
        <v/>
      </c>
    </row>
    <row r="172" spans="14:14" ht="15" customHeight="1" x14ac:dyDescent="0.35">
      <c r="N172" s="2" t="str">
        <f t="shared" si="5"/>
        <v/>
      </c>
    </row>
    <row r="173" spans="14:14" ht="15" customHeight="1" x14ac:dyDescent="0.35">
      <c r="N173" s="2" t="str">
        <f t="shared" si="5"/>
        <v/>
      </c>
    </row>
    <row r="174" spans="14:14" ht="15" customHeight="1" x14ac:dyDescent="0.35">
      <c r="N174" s="2" t="str">
        <f t="shared" si="5"/>
        <v/>
      </c>
    </row>
    <row r="175" spans="14:14" ht="15" customHeight="1" x14ac:dyDescent="0.35">
      <c r="N175" s="2" t="str">
        <f t="shared" si="5"/>
        <v/>
      </c>
    </row>
    <row r="176" spans="14:14" ht="15" customHeight="1" x14ac:dyDescent="0.35">
      <c r="N176" s="2" t="str">
        <f t="shared" si="5"/>
        <v/>
      </c>
    </row>
    <row r="177" spans="14:14" ht="15" customHeight="1" x14ac:dyDescent="0.35">
      <c r="N177" s="2" t="str">
        <f t="shared" si="5"/>
        <v/>
      </c>
    </row>
    <row r="178" spans="14:14" ht="15" customHeight="1" x14ac:dyDescent="0.35">
      <c r="N178" s="2" t="str">
        <f t="shared" si="5"/>
        <v/>
      </c>
    </row>
    <row r="179" spans="14:14" ht="15" customHeight="1" x14ac:dyDescent="0.35">
      <c r="N179" s="2" t="str">
        <f t="shared" si="5"/>
        <v/>
      </c>
    </row>
    <row r="180" spans="14:14" ht="15" customHeight="1" x14ac:dyDescent="0.35">
      <c r="N180" s="2" t="str">
        <f t="shared" si="5"/>
        <v/>
      </c>
    </row>
    <row r="181" spans="14:14" ht="15" customHeight="1" x14ac:dyDescent="0.35">
      <c r="N181" s="2" t="str">
        <f t="shared" si="5"/>
        <v/>
      </c>
    </row>
    <row r="182" spans="14:14" ht="15" customHeight="1" x14ac:dyDescent="0.35">
      <c r="N182" s="2" t="str">
        <f t="shared" si="5"/>
        <v/>
      </c>
    </row>
    <row r="183" spans="14:14" ht="15" customHeight="1" x14ac:dyDescent="0.35">
      <c r="N183" s="2" t="str">
        <f t="shared" si="5"/>
        <v/>
      </c>
    </row>
    <row r="184" spans="14:14" ht="15" customHeight="1" x14ac:dyDescent="0.35">
      <c r="N184" s="2" t="str">
        <f t="shared" si="5"/>
        <v/>
      </c>
    </row>
    <row r="185" spans="14:14" ht="15" customHeight="1" x14ac:dyDescent="0.35">
      <c r="N185" s="2" t="str">
        <f t="shared" si="5"/>
        <v/>
      </c>
    </row>
    <row r="186" spans="14:14" ht="15" customHeight="1" x14ac:dyDescent="0.35">
      <c r="N186" s="2" t="str">
        <f t="shared" si="5"/>
        <v/>
      </c>
    </row>
    <row r="187" spans="14:14" ht="15" customHeight="1" x14ac:dyDescent="0.35">
      <c r="N187" s="2" t="str">
        <f t="shared" si="5"/>
        <v/>
      </c>
    </row>
    <row r="188" spans="14:14" ht="15" customHeight="1" x14ac:dyDescent="0.35">
      <c r="N188" s="2" t="str">
        <f t="shared" si="5"/>
        <v/>
      </c>
    </row>
    <row r="189" spans="14:14" ht="15" customHeight="1" x14ac:dyDescent="0.35">
      <c r="N189" s="2" t="str">
        <f t="shared" si="5"/>
        <v/>
      </c>
    </row>
    <row r="190" spans="14:14" ht="15" customHeight="1" x14ac:dyDescent="0.35">
      <c r="N190" s="2" t="str">
        <f t="shared" si="5"/>
        <v/>
      </c>
    </row>
    <row r="191" spans="14:14" ht="15" customHeight="1" x14ac:dyDescent="0.35">
      <c r="N191" s="2" t="str">
        <f t="shared" si="5"/>
        <v/>
      </c>
    </row>
    <row r="192" spans="14:14" ht="15" customHeight="1" x14ac:dyDescent="0.35">
      <c r="N192" s="2" t="str">
        <f t="shared" si="5"/>
        <v/>
      </c>
    </row>
    <row r="193" spans="14:14" ht="15" customHeight="1" x14ac:dyDescent="0.35">
      <c r="N193" s="2" t="str">
        <f t="shared" si="5"/>
        <v/>
      </c>
    </row>
    <row r="194" spans="14:14" ht="15" customHeight="1" x14ac:dyDescent="0.35">
      <c r="N194" s="2" t="str">
        <f t="shared" si="5"/>
        <v/>
      </c>
    </row>
    <row r="195" spans="14:14" ht="15" customHeight="1" x14ac:dyDescent="0.35">
      <c r="N195" s="2" t="str">
        <f t="shared" si="5"/>
        <v/>
      </c>
    </row>
    <row r="196" spans="14:14" ht="15" customHeight="1" x14ac:dyDescent="0.35">
      <c r="N196" s="2" t="str">
        <f t="shared" si="5"/>
        <v/>
      </c>
    </row>
    <row r="197" spans="14:14" ht="15" customHeight="1" x14ac:dyDescent="0.35">
      <c r="N197" s="2" t="str">
        <f t="shared" si="5"/>
        <v/>
      </c>
    </row>
    <row r="198" spans="14:14" ht="15" customHeight="1" x14ac:dyDescent="0.35">
      <c r="N198" s="2" t="str">
        <f t="shared" si="5"/>
        <v/>
      </c>
    </row>
    <row r="199" spans="14:14" ht="15" customHeight="1" x14ac:dyDescent="0.35">
      <c r="N199" s="2" t="str">
        <f t="shared" si="5"/>
        <v/>
      </c>
    </row>
    <row r="200" spans="14:14" ht="15" customHeight="1" x14ac:dyDescent="0.35">
      <c r="N200" s="2" t="str">
        <f t="shared" si="5"/>
        <v/>
      </c>
    </row>
  </sheetData>
  <conditionalFormatting sqref="N4:N200">
    <cfRule type="expression" dxfId="17" priority="2">
      <formula>AND(N4&lt;&gt;"",N4&lt;&gt;"OK")</formula>
    </cfRule>
    <cfRule type="expression" dxfId="16" priority="3">
      <formula>N4="OK"</formula>
    </cfRule>
  </conditionalFormatting>
  <dataValidations count="8">
    <dataValidation type="list" errorStyle="warning" allowBlank="1" sqref="B4:B200" xr:uid="{00000000-0002-0000-0300-000000000000}">
      <formula1>UsersList</formula1>
      <formula2>0</formula2>
    </dataValidation>
    <dataValidation type="list" errorStyle="warning" allowBlank="1" sqref="C4:C200" xr:uid="{00000000-0002-0000-0300-000001000000}">
      <formula1>BusinessGroupsList</formula1>
      <formula2>0</formula2>
    </dataValidation>
    <dataValidation type="list" errorStyle="warning" allowBlank="1" sqref="D4:D200" xr:uid="{00000000-0002-0000-0300-000002000000}">
      <formula1>RegionsList</formula1>
      <formula2>0</formula2>
    </dataValidation>
    <dataValidation type="list" errorStyle="warning" allowBlank="1" sqref="E4:E200" xr:uid="{00000000-0002-0000-0300-000003000000}">
      <formula1>OutletsList</formula1>
      <formula2>0</formula2>
    </dataValidation>
    <dataValidation type="list" errorStyle="warning" allowBlank="1" sqref="F4:F200" xr:uid="{00000000-0002-0000-0300-000004000000}">
      <formula1>"Market Visit,Stock Check,Competitor Check,Merchandising Audit,Other"</formula1>
      <formula2>0</formula2>
    </dataValidation>
    <dataValidation type="list" allowBlank="1" showErrorMessage="1" errorTitle="Invalid status" error="Choose Draft, Submitted, Reviewed, or Approved." sqref="G4:G200" xr:uid="{00000000-0002-0000-0300-000005000000}">
      <formula1>"Draft,Submitted,Reviewed,Approved"</formula1>
      <formula2>0</formula2>
    </dataValidation>
    <dataValidation type="list" errorStyle="warning" allowBlank="1" sqref="H4:H200" xr:uid="{00000000-0002-0000-0300-000006000000}">
      <formula1>"In Stock,Low Stock,Out of Stock,Not Assessed"</formula1>
      <formula2>0</formula2>
    </dataValidation>
    <dataValidation type="list" errorStyle="warning" allowBlank="1" sqref="L4:L200" xr:uid="{00000000-0002-0000-0300-000007000000}">
      <formula1>"Yes,No"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showGridLines="0" workbookViewId="0">
      <selection activeCell="C19" sqref="C19"/>
    </sheetView>
  </sheetViews>
  <sheetFormatPr defaultColWidth="8.54296875" defaultRowHeight="14.5" x14ac:dyDescent="0.35"/>
  <cols>
    <col min="1" max="1" width="24" style="1" customWidth="1"/>
    <col min="2" max="2" width="18" style="1" customWidth="1"/>
    <col min="3" max="3" width="39.81640625" style="1" customWidth="1"/>
    <col min="4" max="4" width="32" style="1" customWidth="1"/>
  </cols>
  <sheetData>
    <row r="1" spans="1:4" s="17" customFormat="1" ht="21.75" customHeight="1" x14ac:dyDescent="0.4">
      <c r="A1" s="68" t="s">
        <v>21</v>
      </c>
      <c r="B1" s="68"/>
      <c r="C1" s="68"/>
      <c r="D1" s="16"/>
    </row>
    <row r="2" spans="1:4" ht="15.75" customHeight="1" x14ac:dyDescent="0.35">
      <c r="A2" s="69" t="s">
        <v>107</v>
      </c>
      <c r="B2" s="69"/>
      <c r="C2" s="69"/>
    </row>
    <row r="3" spans="1:4" s="21" customFormat="1" ht="30" customHeight="1" x14ac:dyDescent="0.35">
      <c r="A3" s="38" t="s">
        <v>108</v>
      </c>
      <c r="B3" s="38" t="s">
        <v>109</v>
      </c>
      <c r="C3" s="38" t="s">
        <v>48</v>
      </c>
      <c r="D3" s="40" t="s">
        <v>50</v>
      </c>
    </row>
    <row r="4" spans="1:4" ht="15" customHeight="1" x14ac:dyDescent="0.35">
      <c r="A4" s="39" t="s">
        <v>55</v>
      </c>
      <c r="B4" s="39" t="s">
        <v>110</v>
      </c>
      <c r="C4" s="39" t="s">
        <v>111</v>
      </c>
      <c r="D4" s="31" t="str">
        <f t="shared" ref="D4:D35" si="0">IF($A4="","",IF(OR($A4="",$B4=""),"Missing required field",IF(COUNTIF($A$4:$A$200,$A4)&gt;1,"Duplicate region name","OK")))</f>
        <v>OK</v>
      </c>
    </row>
    <row r="5" spans="1:4" ht="15" customHeight="1" x14ac:dyDescent="0.35">
      <c r="A5" s="30" t="s">
        <v>355</v>
      </c>
      <c r="B5" s="39" t="s">
        <v>110</v>
      </c>
      <c r="C5" s="30" t="s">
        <v>365</v>
      </c>
      <c r="D5" s="29" t="str">
        <f t="shared" si="0"/>
        <v>OK</v>
      </c>
    </row>
    <row r="6" spans="1:4" ht="15" customHeight="1" x14ac:dyDescent="0.35">
      <c r="A6" s="30" t="s">
        <v>356</v>
      </c>
      <c r="B6" s="39" t="s">
        <v>110</v>
      </c>
      <c r="C6" s="30" t="s">
        <v>366</v>
      </c>
      <c r="D6" s="29" t="str">
        <f t="shared" si="0"/>
        <v>OK</v>
      </c>
    </row>
    <row r="7" spans="1:4" ht="15" customHeight="1" x14ac:dyDescent="0.35">
      <c r="A7" s="30" t="s">
        <v>357</v>
      </c>
      <c r="B7" s="39" t="s">
        <v>110</v>
      </c>
      <c r="C7" s="30" t="s">
        <v>367</v>
      </c>
      <c r="D7" s="29" t="str">
        <f t="shared" si="0"/>
        <v>OK</v>
      </c>
    </row>
    <row r="8" spans="1:4" ht="15" customHeight="1" x14ac:dyDescent="0.35">
      <c r="A8" s="30" t="s">
        <v>358</v>
      </c>
      <c r="B8" s="39" t="s">
        <v>110</v>
      </c>
      <c r="C8" s="30" t="s">
        <v>368</v>
      </c>
      <c r="D8" s="29" t="str">
        <f t="shared" si="0"/>
        <v>OK</v>
      </c>
    </row>
    <row r="9" spans="1:4" ht="15" customHeight="1" x14ac:dyDescent="0.35">
      <c r="A9" s="30" t="s">
        <v>359</v>
      </c>
      <c r="B9" s="39" t="s">
        <v>110</v>
      </c>
      <c r="C9" s="30" t="s">
        <v>369</v>
      </c>
      <c r="D9" s="29" t="str">
        <f t="shared" si="0"/>
        <v>OK</v>
      </c>
    </row>
    <row r="10" spans="1:4" ht="15" customHeight="1" x14ac:dyDescent="0.35">
      <c r="A10" s="30" t="s">
        <v>360</v>
      </c>
      <c r="B10" s="39" t="s">
        <v>110</v>
      </c>
      <c r="C10" s="30" t="s">
        <v>370</v>
      </c>
      <c r="D10" s="29" t="str">
        <f t="shared" si="0"/>
        <v>OK</v>
      </c>
    </row>
    <row r="11" spans="1:4" ht="15" customHeight="1" x14ac:dyDescent="0.35">
      <c r="A11" s="30" t="s">
        <v>361</v>
      </c>
      <c r="B11" s="39" t="s">
        <v>110</v>
      </c>
      <c r="C11" s="30" t="s">
        <v>371</v>
      </c>
      <c r="D11" s="29" t="str">
        <f t="shared" si="0"/>
        <v>OK</v>
      </c>
    </row>
    <row r="12" spans="1:4" ht="15" customHeight="1" x14ac:dyDescent="0.35">
      <c r="A12" s="30" t="s">
        <v>362</v>
      </c>
      <c r="B12" s="39" t="s">
        <v>110</v>
      </c>
      <c r="C12" s="30" t="s">
        <v>362</v>
      </c>
      <c r="D12" s="29" t="str">
        <f t="shared" si="0"/>
        <v>OK</v>
      </c>
    </row>
    <row r="13" spans="1:4" ht="15" customHeight="1" x14ac:dyDescent="0.35">
      <c r="A13" s="30" t="s">
        <v>363</v>
      </c>
      <c r="B13" s="39" t="s">
        <v>110</v>
      </c>
      <c r="C13" s="30" t="s">
        <v>372</v>
      </c>
      <c r="D13" s="29" t="str">
        <f t="shared" si="0"/>
        <v>OK</v>
      </c>
    </row>
    <row r="14" spans="1:4" ht="15" customHeight="1" x14ac:dyDescent="0.35">
      <c r="A14" s="30" t="s">
        <v>364</v>
      </c>
      <c r="B14" s="39" t="s">
        <v>110</v>
      </c>
      <c r="C14" s="30" t="s">
        <v>364</v>
      </c>
      <c r="D14" s="29" t="str">
        <f t="shared" si="0"/>
        <v>OK</v>
      </c>
    </row>
    <row r="15" spans="1:4" ht="15" customHeight="1" x14ac:dyDescent="0.35">
      <c r="A15" s="30"/>
      <c r="B15" s="30"/>
      <c r="C15" s="30"/>
      <c r="D15" s="29" t="str">
        <f t="shared" si="0"/>
        <v/>
      </c>
    </row>
    <row r="16" spans="1:4" ht="15" customHeight="1" x14ac:dyDescent="0.35">
      <c r="A16" s="30"/>
      <c r="B16" s="30"/>
      <c r="C16" s="30"/>
      <c r="D16" s="29" t="str">
        <f t="shared" si="0"/>
        <v/>
      </c>
    </row>
    <row r="17" spans="1:4" ht="15" customHeight="1" x14ac:dyDescent="0.35">
      <c r="A17" s="30"/>
      <c r="B17" s="30"/>
      <c r="C17" s="30"/>
      <c r="D17" s="29" t="str">
        <f t="shared" si="0"/>
        <v/>
      </c>
    </row>
    <row r="18" spans="1:4" ht="15" customHeight="1" x14ac:dyDescent="0.35">
      <c r="A18" s="30"/>
      <c r="B18" s="30"/>
      <c r="C18" s="30"/>
      <c r="D18" s="29" t="str">
        <f t="shared" si="0"/>
        <v/>
      </c>
    </row>
    <row r="19" spans="1:4" ht="15" customHeight="1" x14ac:dyDescent="0.35">
      <c r="A19" s="30"/>
      <c r="B19" s="30"/>
      <c r="C19" s="30"/>
      <c r="D19" s="29" t="str">
        <f t="shared" si="0"/>
        <v/>
      </c>
    </row>
    <row r="20" spans="1:4" ht="15" customHeight="1" x14ac:dyDescent="0.35">
      <c r="A20" s="30"/>
      <c r="B20" s="30"/>
      <c r="C20" s="30"/>
      <c r="D20" s="29" t="str">
        <f t="shared" si="0"/>
        <v/>
      </c>
    </row>
    <row r="21" spans="1:4" ht="15" customHeight="1" x14ac:dyDescent="0.35">
      <c r="A21" s="36"/>
      <c r="B21" s="36"/>
      <c r="C21" s="36"/>
      <c r="D21" s="2" t="str">
        <f t="shared" si="0"/>
        <v/>
      </c>
    </row>
    <row r="22" spans="1:4" ht="15" customHeight="1" x14ac:dyDescent="0.35">
      <c r="A22" s="5"/>
      <c r="B22" s="5"/>
      <c r="C22" s="5"/>
      <c r="D22" s="2" t="str">
        <f t="shared" si="0"/>
        <v/>
      </c>
    </row>
    <row r="23" spans="1:4" ht="15" customHeight="1" x14ac:dyDescent="0.35">
      <c r="A23" s="5"/>
      <c r="B23" s="5"/>
      <c r="C23" s="5"/>
      <c r="D23" s="2" t="str">
        <f t="shared" si="0"/>
        <v/>
      </c>
    </row>
    <row r="24" spans="1:4" ht="15" customHeight="1" x14ac:dyDescent="0.35">
      <c r="A24" s="5"/>
      <c r="B24" s="5"/>
      <c r="C24" s="5"/>
      <c r="D24" s="2" t="str">
        <f t="shared" si="0"/>
        <v/>
      </c>
    </row>
    <row r="25" spans="1:4" ht="15" customHeight="1" x14ac:dyDescent="0.35">
      <c r="D25" s="2" t="str">
        <f t="shared" si="0"/>
        <v/>
      </c>
    </row>
    <row r="26" spans="1:4" ht="15" customHeight="1" x14ac:dyDescent="0.35">
      <c r="D26" s="2" t="str">
        <f t="shared" si="0"/>
        <v/>
      </c>
    </row>
    <row r="27" spans="1:4" ht="15" customHeight="1" x14ac:dyDescent="0.35">
      <c r="D27" s="2" t="str">
        <f t="shared" si="0"/>
        <v/>
      </c>
    </row>
    <row r="28" spans="1:4" ht="15" customHeight="1" x14ac:dyDescent="0.35">
      <c r="D28" s="2" t="str">
        <f t="shared" si="0"/>
        <v/>
      </c>
    </row>
    <row r="29" spans="1:4" ht="15" customHeight="1" x14ac:dyDescent="0.35">
      <c r="D29" s="2" t="str">
        <f t="shared" si="0"/>
        <v/>
      </c>
    </row>
    <row r="30" spans="1:4" ht="15" customHeight="1" x14ac:dyDescent="0.35">
      <c r="D30" s="2" t="str">
        <f t="shared" si="0"/>
        <v/>
      </c>
    </row>
    <row r="31" spans="1:4" ht="15" customHeight="1" x14ac:dyDescent="0.35">
      <c r="D31" s="2" t="str">
        <f t="shared" si="0"/>
        <v/>
      </c>
    </row>
    <row r="32" spans="1:4" ht="15" customHeight="1" x14ac:dyDescent="0.35">
      <c r="D32" s="2" t="str">
        <f t="shared" si="0"/>
        <v/>
      </c>
    </row>
    <row r="33" spans="4:4" ht="15" customHeight="1" x14ac:dyDescent="0.35">
      <c r="D33" s="2" t="str">
        <f t="shared" si="0"/>
        <v/>
      </c>
    </row>
    <row r="34" spans="4:4" ht="15" customHeight="1" x14ac:dyDescent="0.35">
      <c r="D34" s="2" t="str">
        <f t="shared" si="0"/>
        <v/>
      </c>
    </row>
    <row r="35" spans="4:4" ht="15" customHeight="1" x14ac:dyDescent="0.35">
      <c r="D35" s="2" t="str">
        <f t="shared" si="0"/>
        <v/>
      </c>
    </row>
    <row r="36" spans="4:4" ht="15" customHeight="1" x14ac:dyDescent="0.35">
      <c r="D36" s="2" t="str">
        <f t="shared" ref="D36:D67" si="1">IF($A36="","",IF(OR($A36="",$B36=""),"Missing required field",IF(COUNTIF($A$4:$A$200,$A36)&gt;1,"Duplicate region name","OK")))</f>
        <v/>
      </c>
    </row>
    <row r="37" spans="4:4" ht="15" customHeight="1" x14ac:dyDescent="0.35">
      <c r="D37" s="2" t="str">
        <f t="shared" si="1"/>
        <v/>
      </c>
    </row>
    <row r="38" spans="4:4" ht="15" customHeight="1" x14ac:dyDescent="0.35">
      <c r="D38" s="2" t="str">
        <f t="shared" si="1"/>
        <v/>
      </c>
    </row>
    <row r="39" spans="4:4" ht="15" customHeight="1" x14ac:dyDescent="0.35">
      <c r="D39" s="2" t="str">
        <f t="shared" si="1"/>
        <v/>
      </c>
    </row>
    <row r="40" spans="4:4" ht="15" customHeight="1" x14ac:dyDescent="0.35">
      <c r="D40" s="2" t="str">
        <f t="shared" si="1"/>
        <v/>
      </c>
    </row>
    <row r="41" spans="4:4" ht="15" customHeight="1" x14ac:dyDescent="0.35">
      <c r="D41" s="2" t="str">
        <f t="shared" si="1"/>
        <v/>
      </c>
    </row>
    <row r="42" spans="4:4" ht="15" customHeight="1" x14ac:dyDescent="0.35">
      <c r="D42" s="2" t="str">
        <f t="shared" si="1"/>
        <v/>
      </c>
    </row>
    <row r="43" spans="4:4" ht="15" customHeight="1" x14ac:dyDescent="0.35">
      <c r="D43" s="2" t="str">
        <f t="shared" si="1"/>
        <v/>
      </c>
    </row>
    <row r="44" spans="4:4" ht="15" customHeight="1" x14ac:dyDescent="0.35">
      <c r="D44" s="2" t="str">
        <f t="shared" si="1"/>
        <v/>
      </c>
    </row>
    <row r="45" spans="4:4" ht="15" customHeight="1" x14ac:dyDescent="0.35">
      <c r="D45" s="2" t="str">
        <f t="shared" si="1"/>
        <v/>
      </c>
    </row>
    <row r="46" spans="4:4" ht="15" customHeight="1" x14ac:dyDescent="0.35">
      <c r="D46" s="2" t="str">
        <f t="shared" si="1"/>
        <v/>
      </c>
    </row>
    <row r="47" spans="4:4" ht="15" customHeight="1" x14ac:dyDescent="0.35">
      <c r="D47" s="2" t="str">
        <f t="shared" si="1"/>
        <v/>
      </c>
    </row>
    <row r="48" spans="4:4" ht="15" customHeight="1" x14ac:dyDescent="0.35">
      <c r="D48" s="2" t="str">
        <f t="shared" si="1"/>
        <v/>
      </c>
    </row>
    <row r="49" spans="4:4" ht="15" customHeight="1" x14ac:dyDescent="0.35">
      <c r="D49" s="2" t="str">
        <f t="shared" si="1"/>
        <v/>
      </c>
    </row>
    <row r="50" spans="4:4" ht="15" customHeight="1" x14ac:dyDescent="0.35">
      <c r="D50" s="2" t="str">
        <f t="shared" si="1"/>
        <v/>
      </c>
    </row>
    <row r="51" spans="4:4" ht="15" customHeight="1" x14ac:dyDescent="0.35">
      <c r="D51" s="2" t="str">
        <f t="shared" si="1"/>
        <v/>
      </c>
    </row>
    <row r="52" spans="4:4" ht="15" customHeight="1" x14ac:dyDescent="0.35">
      <c r="D52" s="2" t="str">
        <f t="shared" si="1"/>
        <v/>
      </c>
    </row>
    <row r="53" spans="4:4" ht="15" customHeight="1" x14ac:dyDescent="0.35">
      <c r="D53" s="2" t="str">
        <f t="shared" si="1"/>
        <v/>
      </c>
    </row>
    <row r="54" spans="4:4" ht="15" customHeight="1" x14ac:dyDescent="0.35">
      <c r="D54" s="2" t="str">
        <f t="shared" si="1"/>
        <v/>
      </c>
    </row>
    <row r="55" spans="4:4" ht="15" customHeight="1" x14ac:dyDescent="0.35">
      <c r="D55" s="2" t="str">
        <f t="shared" si="1"/>
        <v/>
      </c>
    </row>
    <row r="56" spans="4:4" ht="15" customHeight="1" x14ac:dyDescent="0.35">
      <c r="D56" s="2" t="str">
        <f t="shared" si="1"/>
        <v/>
      </c>
    </row>
    <row r="57" spans="4:4" ht="15" customHeight="1" x14ac:dyDescent="0.35">
      <c r="D57" s="2" t="str">
        <f t="shared" si="1"/>
        <v/>
      </c>
    </row>
    <row r="58" spans="4:4" ht="15" customHeight="1" x14ac:dyDescent="0.35">
      <c r="D58" s="2" t="str">
        <f t="shared" si="1"/>
        <v/>
      </c>
    </row>
    <row r="59" spans="4:4" ht="15" customHeight="1" x14ac:dyDescent="0.35">
      <c r="D59" s="2" t="str">
        <f t="shared" si="1"/>
        <v/>
      </c>
    </row>
    <row r="60" spans="4:4" ht="15" customHeight="1" x14ac:dyDescent="0.35">
      <c r="D60" s="2" t="str">
        <f t="shared" si="1"/>
        <v/>
      </c>
    </row>
    <row r="61" spans="4:4" ht="15" customHeight="1" x14ac:dyDescent="0.35">
      <c r="D61" s="2" t="str">
        <f t="shared" si="1"/>
        <v/>
      </c>
    </row>
    <row r="62" spans="4:4" ht="15" customHeight="1" x14ac:dyDescent="0.35">
      <c r="D62" s="2" t="str">
        <f t="shared" si="1"/>
        <v/>
      </c>
    </row>
    <row r="63" spans="4:4" ht="15" customHeight="1" x14ac:dyDescent="0.35">
      <c r="D63" s="2" t="str">
        <f t="shared" si="1"/>
        <v/>
      </c>
    </row>
    <row r="64" spans="4:4" ht="15" customHeight="1" x14ac:dyDescent="0.35">
      <c r="D64" s="2" t="str">
        <f t="shared" si="1"/>
        <v/>
      </c>
    </row>
    <row r="65" spans="4:4" ht="15" customHeight="1" x14ac:dyDescent="0.35">
      <c r="D65" s="2" t="str">
        <f t="shared" si="1"/>
        <v/>
      </c>
    </row>
    <row r="66" spans="4:4" ht="15" customHeight="1" x14ac:dyDescent="0.35">
      <c r="D66" s="2" t="str">
        <f t="shared" si="1"/>
        <v/>
      </c>
    </row>
    <row r="67" spans="4:4" ht="15" customHeight="1" x14ac:dyDescent="0.35">
      <c r="D67" s="2" t="str">
        <f t="shared" si="1"/>
        <v/>
      </c>
    </row>
    <row r="68" spans="4:4" ht="15" customHeight="1" x14ac:dyDescent="0.35">
      <c r="D68" s="2" t="str">
        <f t="shared" ref="D68:D99" si="2">IF($A68="","",IF(OR($A68="",$B68=""),"Missing required field",IF(COUNTIF($A$4:$A$200,$A68)&gt;1,"Duplicate region name","OK")))</f>
        <v/>
      </c>
    </row>
    <row r="69" spans="4:4" ht="15" customHeight="1" x14ac:dyDescent="0.35">
      <c r="D69" s="2" t="str">
        <f t="shared" si="2"/>
        <v/>
      </c>
    </row>
    <row r="70" spans="4:4" ht="15" customHeight="1" x14ac:dyDescent="0.35">
      <c r="D70" s="2" t="str">
        <f t="shared" si="2"/>
        <v/>
      </c>
    </row>
    <row r="71" spans="4:4" ht="15" customHeight="1" x14ac:dyDescent="0.35">
      <c r="D71" s="2" t="str">
        <f t="shared" si="2"/>
        <v/>
      </c>
    </row>
    <row r="72" spans="4:4" ht="15" customHeight="1" x14ac:dyDescent="0.35">
      <c r="D72" s="2" t="str">
        <f t="shared" si="2"/>
        <v/>
      </c>
    </row>
    <row r="73" spans="4:4" ht="15" customHeight="1" x14ac:dyDescent="0.35">
      <c r="D73" s="2" t="str">
        <f t="shared" si="2"/>
        <v/>
      </c>
    </row>
    <row r="74" spans="4:4" ht="15" customHeight="1" x14ac:dyDescent="0.35">
      <c r="D74" s="2" t="str">
        <f t="shared" si="2"/>
        <v/>
      </c>
    </row>
    <row r="75" spans="4:4" ht="15" customHeight="1" x14ac:dyDescent="0.35">
      <c r="D75" s="2" t="str">
        <f t="shared" si="2"/>
        <v/>
      </c>
    </row>
    <row r="76" spans="4:4" ht="15" customHeight="1" x14ac:dyDescent="0.35">
      <c r="D76" s="2" t="str">
        <f t="shared" si="2"/>
        <v/>
      </c>
    </row>
    <row r="77" spans="4:4" ht="15" customHeight="1" x14ac:dyDescent="0.35">
      <c r="D77" s="2" t="str">
        <f t="shared" si="2"/>
        <v/>
      </c>
    </row>
    <row r="78" spans="4:4" ht="15" customHeight="1" x14ac:dyDescent="0.35">
      <c r="D78" s="2" t="str">
        <f t="shared" si="2"/>
        <v/>
      </c>
    </row>
    <row r="79" spans="4:4" ht="15" customHeight="1" x14ac:dyDescent="0.35">
      <c r="D79" s="2" t="str">
        <f t="shared" si="2"/>
        <v/>
      </c>
    </row>
    <row r="80" spans="4:4" ht="15" customHeight="1" x14ac:dyDescent="0.35">
      <c r="D80" s="2" t="str">
        <f t="shared" si="2"/>
        <v/>
      </c>
    </row>
    <row r="81" spans="4:4" ht="15" customHeight="1" x14ac:dyDescent="0.35">
      <c r="D81" s="2" t="str">
        <f t="shared" si="2"/>
        <v/>
      </c>
    </row>
    <row r="82" spans="4:4" ht="15" customHeight="1" x14ac:dyDescent="0.35">
      <c r="D82" s="2" t="str">
        <f t="shared" si="2"/>
        <v/>
      </c>
    </row>
    <row r="83" spans="4:4" ht="15" customHeight="1" x14ac:dyDescent="0.35">
      <c r="D83" s="2" t="str">
        <f t="shared" si="2"/>
        <v/>
      </c>
    </row>
    <row r="84" spans="4:4" ht="15" customHeight="1" x14ac:dyDescent="0.35">
      <c r="D84" s="2" t="str">
        <f t="shared" si="2"/>
        <v/>
      </c>
    </row>
    <row r="85" spans="4:4" ht="15" customHeight="1" x14ac:dyDescent="0.35">
      <c r="D85" s="2" t="str">
        <f t="shared" si="2"/>
        <v/>
      </c>
    </row>
    <row r="86" spans="4:4" ht="15" customHeight="1" x14ac:dyDescent="0.35">
      <c r="D86" s="2" t="str">
        <f t="shared" si="2"/>
        <v/>
      </c>
    </row>
    <row r="87" spans="4:4" ht="15" customHeight="1" x14ac:dyDescent="0.35">
      <c r="D87" s="2" t="str">
        <f t="shared" si="2"/>
        <v/>
      </c>
    </row>
    <row r="88" spans="4:4" ht="15" customHeight="1" x14ac:dyDescent="0.35">
      <c r="D88" s="2" t="str">
        <f t="shared" si="2"/>
        <v/>
      </c>
    </row>
    <row r="89" spans="4:4" ht="15" customHeight="1" x14ac:dyDescent="0.35">
      <c r="D89" s="2" t="str">
        <f t="shared" si="2"/>
        <v/>
      </c>
    </row>
    <row r="90" spans="4:4" ht="15" customHeight="1" x14ac:dyDescent="0.35">
      <c r="D90" s="2" t="str">
        <f t="shared" si="2"/>
        <v/>
      </c>
    </row>
    <row r="91" spans="4:4" ht="15" customHeight="1" x14ac:dyDescent="0.35">
      <c r="D91" s="2" t="str">
        <f t="shared" si="2"/>
        <v/>
      </c>
    </row>
    <row r="92" spans="4:4" ht="15" customHeight="1" x14ac:dyDescent="0.35">
      <c r="D92" s="2" t="str">
        <f t="shared" si="2"/>
        <v/>
      </c>
    </row>
    <row r="93" spans="4:4" ht="15" customHeight="1" x14ac:dyDescent="0.35">
      <c r="D93" s="2" t="str">
        <f t="shared" si="2"/>
        <v/>
      </c>
    </row>
    <row r="94" spans="4:4" ht="15" customHeight="1" x14ac:dyDescent="0.35">
      <c r="D94" s="2" t="str">
        <f t="shared" si="2"/>
        <v/>
      </c>
    </row>
    <row r="95" spans="4:4" ht="15" customHeight="1" x14ac:dyDescent="0.35">
      <c r="D95" s="2" t="str">
        <f t="shared" si="2"/>
        <v/>
      </c>
    </row>
    <row r="96" spans="4:4" ht="15" customHeight="1" x14ac:dyDescent="0.35">
      <c r="D96" s="2" t="str">
        <f t="shared" si="2"/>
        <v/>
      </c>
    </row>
    <row r="97" spans="4:4" ht="15" customHeight="1" x14ac:dyDescent="0.35">
      <c r="D97" s="2" t="str">
        <f t="shared" si="2"/>
        <v/>
      </c>
    </row>
    <row r="98" spans="4:4" ht="15" customHeight="1" x14ac:dyDescent="0.35">
      <c r="D98" s="2" t="str">
        <f t="shared" si="2"/>
        <v/>
      </c>
    </row>
    <row r="99" spans="4:4" ht="15" customHeight="1" x14ac:dyDescent="0.35">
      <c r="D99" s="2" t="str">
        <f t="shared" si="2"/>
        <v/>
      </c>
    </row>
    <row r="100" spans="4:4" ht="15" customHeight="1" x14ac:dyDescent="0.35">
      <c r="D100" s="2" t="str">
        <f t="shared" ref="D100:D131" si="3">IF($A100="","",IF(OR($A100="",$B100=""),"Missing required field",IF(COUNTIF($A$4:$A$200,$A100)&gt;1,"Duplicate region name","OK")))</f>
        <v/>
      </c>
    </row>
    <row r="101" spans="4:4" ht="15" customHeight="1" x14ac:dyDescent="0.35">
      <c r="D101" s="2" t="str">
        <f t="shared" si="3"/>
        <v/>
      </c>
    </row>
    <row r="102" spans="4:4" ht="15" customHeight="1" x14ac:dyDescent="0.35">
      <c r="D102" s="2" t="str">
        <f t="shared" si="3"/>
        <v/>
      </c>
    </row>
    <row r="103" spans="4:4" ht="15" customHeight="1" x14ac:dyDescent="0.35">
      <c r="D103" s="2" t="str">
        <f t="shared" si="3"/>
        <v/>
      </c>
    </row>
    <row r="104" spans="4:4" ht="15" customHeight="1" x14ac:dyDescent="0.35">
      <c r="D104" s="2" t="str">
        <f t="shared" si="3"/>
        <v/>
      </c>
    </row>
    <row r="105" spans="4:4" ht="15" customHeight="1" x14ac:dyDescent="0.35">
      <c r="D105" s="2" t="str">
        <f t="shared" si="3"/>
        <v/>
      </c>
    </row>
    <row r="106" spans="4:4" ht="15" customHeight="1" x14ac:dyDescent="0.35">
      <c r="D106" s="2" t="str">
        <f t="shared" si="3"/>
        <v/>
      </c>
    </row>
    <row r="107" spans="4:4" ht="15" customHeight="1" x14ac:dyDescent="0.35">
      <c r="D107" s="2" t="str">
        <f t="shared" si="3"/>
        <v/>
      </c>
    </row>
    <row r="108" spans="4:4" ht="15" customHeight="1" x14ac:dyDescent="0.35">
      <c r="D108" s="2" t="str">
        <f t="shared" si="3"/>
        <v/>
      </c>
    </row>
    <row r="109" spans="4:4" ht="15" customHeight="1" x14ac:dyDescent="0.35">
      <c r="D109" s="2" t="str">
        <f t="shared" si="3"/>
        <v/>
      </c>
    </row>
    <row r="110" spans="4:4" ht="15" customHeight="1" x14ac:dyDescent="0.35">
      <c r="D110" s="2" t="str">
        <f t="shared" si="3"/>
        <v/>
      </c>
    </row>
    <row r="111" spans="4:4" ht="15" customHeight="1" x14ac:dyDescent="0.35">
      <c r="D111" s="2" t="str">
        <f t="shared" si="3"/>
        <v/>
      </c>
    </row>
    <row r="112" spans="4:4" ht="15" customHeight="1" x14ac:dyDescent="0.35">
      <c r="D112" s="2" t="str">
        <f t="shared" si="3"/>
        <v/>
      </c>
    </row>
    <row r="113" spans="4:4" ht="15" customHeight="1" x14ac:dyDescent="0.35">
      <c r="D113" s="2" t="str">
        <f t="shared" si="3"/>
        <v/>
      </c>
    </row>
    <row r="114" spans="4:4" ht="15" customHeight="1" x14ac:dyDescent="0.35">
      <c r="D114" s="2" t="str">
        <f t="shared" si="3"/>
        <v/>
      </c>
    </row>
    <row r="115" spans="4:4" ht="15" customHeight="1" x14ac:dyDescent="0.35">
      <c r="D115" s="2" t="str">
        <f t="shared" si="3"/>
        <v/>
      </c>
    </row>
    <row r="116" spans="4:4" ht="15" customHeight="1" x14ac:dyDescent="0.35">
      <c r="D116" s="2" t="str">
        <f t="shared" si="3"/>
        <v/>
      </c>
    </row>
    <row r="117" spans="4:4" ht="15" customHeight="1" x14ac:dyDescent="0.35">
      <c r="D117" s="2" t="str">
        <f t="shared" si="3"/>
        <v/>
      </c>
    </row>
    <row r="118" spans="4:4" ht="15" customHeight="1" x14ac:dyDescent="0.35">
      <c r="D118" s="2" t="str">
        <f t="shared" si="3"/>
        <v/>
      </c>
    </row>
    <row r="119" spans="4:4" ht="15" customHeight="1" x14ac:dyDescent="0.35">
      <c r="D119" s="2" t="str">
        <f t="shared" si="3"/>
        <v/>
      </c>
    </row>
    <row r="120" spans="4:4" ht="15" customHeight="1" x14ac:dyDescent="0.35">
      <c r="D120" s="2" t="str">
        <f t="shared" si="3"/>
        <v/>
      </c>
    </row>
    <row r="121" spans="4:4" ht="15" customHeight="1" x14ac:dyDescent="0.35">
      <c r="D121" s="2" t="str">
        <f t="shared" si="3"/>
        <v/>
      </c>
    </row>
    <row r="122" spans="4:4" ht="15" customHeight="1" x14ac:dyDescent="0.35">
      <c r="D122" s="2" t="str">
        <f t="shared" si="3"/>
        <v/>
      </c>
    </row>
    <row r="123" spans="4:4" ht="15" customHeight="1" x14ac:dyDescent="0.35">
      <c r="D123" s="2" t="str">
        <f t="shared" si="3"/>
        <v/>
      </c>
    </row>
    <row r="124" spans="4:4" ht="15" customHeight="1" x14ac:dyDescent="0.35">
      <c r="D124" s="2" t="str">
        <f t="shared" si="3"/>
        <v/>
      </c>
    </row>
    <row r="125" spans="4:4" ht="15" customHeight="1" x14ac:dyDescent="0.35">
      <c r="D125" s="2" t="str">
        <f t="shared" si="3"/>
        <v/>
      </c>
    </row>
    <row r="126" spans="4:4" ht="15" customHeight="1" x14ac:dyDescent="0.35">
      <c r="D126" s="2" t="str">
        <f t="shared" si="3"/>
        <v/>
      </c>
    </row>
    <row r="127" spans="4:4" ht="15" customHeight="1" x14ac:dyDescent="0.35">
      <c r="D127" s="2" t="str">
        <f t="shared" si="3"/>
        <v/>
      </c>
    </row>
    <row r="128" spans="4:4" ht="15" customHeight="1" x14ac:dyDescent="0.35">
      <c r="D128" s="2" t="str">
        <f t="shared" si="3"/>
        <v/>
      </c>
    </row>
    <row r="129" spans="4:4" ht="15" customHeight="1" x14ac:dyDescent="0.35">
      <c r="D129" s="2" t="str">
        <f t="shared" si="3"/>
        <v/>
      </c>
    </row>
    <row r="130" spans="4:4" ht="15" customHeight="1" x14ac:dyDescent="0.35">
      <c r="D130" s="2" t="str">
        <f t="shared" si="3"/>
        <v/>
      </c>
    </row>
    <row r="131" spans="4:4" ht="15" customHeight="1" x14ac:dyDescent="0.35">
      <c r="D131" s="2" t="str">
        <f t="shared" si="3"/>
        <v/>
      </c>
    </row>
    <row r="132" spans="4:4" ht="15" customHeight="1" x14ac:dyDescent="0.35">
      <c r="D132" s="2" t="str">
        <f t="shared" ref="D132:D163" si="4">IF($A132="","",IF(OR($A132="",$B132=""),"Missing required field",IF(COUNTIF($A$4:$A$200,$A132)&gt;1,"Duplicate region name","OK")))</f>
        <v/>
      </c>
    </row>
    <row r="133" spans="4:4" ht="15" customHeight="1" x14ac:dyDescent="0.35">
      <c r="D133" s="2" t="str">
        <f t="shared" si="4"/>
        <v/>
      </c>
    </row>
    <row r="134" spans="4:4" ht="15" customHeight="1" x14ac:dyDescent="0.35">
      <c r="D134" s="2" t="str">
        <f t="shared" si="4"/>
        <v/>
      </c>
    </row>
    <row r="135" spans="4:4" ht="15" customHeight="1" x14ac:dyDescent="0.35">
      <c r="D135" s="2" t="str">
        <f t="shared" si="4"/>
        <v/>
      </c>
    </row>
    <row r="136" spans="4:4" ht="15" customHeight="1" x14ac:dyDescent="0.35">
      <c r="D136" s="2" t="str">
        <f t="shared" si="4"/>
        <v/>
      </c>
    </row>
    <row r="137" spans="4:4" ht="15" customHeight="1" x14ac:dyDescent="0.35">
      <c r="D137" s="2" t="str">
        <f t="shared" si="4"/>
        <v/>
      </c>
    </row>
    <row r="138" spans="4:4" ht="15" customHeight="1" x14ac:dyDescent="0.35">
      <c r="D138" s="2" t="str">
        <f t="shared" si="4"/>
        <v/>
      </c>
    </row>
    <row r="139" spans="4:4" ht="15" customHeight="1" x14ac:dyDescent="0.35">
      <c r="D139" s="2" t="str">
        <f t="shared" si="4"/>
        <v/>
      </c>
    </row>
    <row r="140" spans="4:4" ht="15" customHeight="1" x14ac:dyDescent="0.35">
      <c r="D140" s="2" t="str">
        <f t="shared" si="4"/>
        <v/>
      </c>
    </row>
    <row r="141" spans="4:4" ht="15" customHeight="1" x14ac:dyDescent="0.35">
      <c r="D141" s="2" t="str">
        <f t="shared" si="4"/>
        <v/>
      </c>
    </row>
    <row r="142" spans="4:4" ht="15" customHeight="1" x14ac:dyDescent="0.35">
      <c r="D142" s="2" t="str">
        <f t="shared" si="4"/>
        <v/>
      </c>
    </row>
    <row r="143" spans="4:4" ht="15" customHeight="1" x14ac:dyDescent="0.35">
      <c r="D143" s="2" t="str">
        <f t="shared" si="4"/>
        <v/>
      </c>
    </row>
    <row r="144" spans="4:4" ht="15" customHeight="1" x14ac:dyDescent="0.35">
      <c r="D144" s="2" t="str">
        <f t="shared" si="4"/>
        <v/>
      </c>
    </row>
    <row r="145" spans="4:4" ht="15" customHeight="1" x14ac:dyDescent="0.35">
      <c r="D145" s="2" t="str">
        <f t="shared" si="4"/>
        <v/>
      </c>
    </row>
    <row r="146" spans="4:4" ht="15" customHeight="1" x14ac:dyDescent="0.35">
      <c r="D146" s="2" t="str">
        <f t="shared" si="4"/>
        <v/>
      </c>
    </row>
    <row r="147" spans="4:4" ht="15" customHeight="1" x14ac:dyDescent="0.35">
      <c r="D147" s="2" t="str">
        <f t="shared" si="4"/>
        <v/>
      </c>
    </row>
    <row r="148" spans="4:4" ht="15" customHeight="1" x14ac:dyDescent="0.35">
      <c r="D148" s="2" t="str">
        <f t="shared" si="4"/>
        <v/>
      </c>
    </row>
    <row r="149" spans="4:4" ht="15" customHeight="1" x14ac:dyDescent="0.35">
      <c r="D149" s="2" t="str">
        <f t="shared" si="4"/>
        <v/>
      </c>
    </row>
    <row r="150" spans="4:4" ht="15" customHeight="1" x14ac:dyDescent="0.35">
      <c r="D150" s="2" t="str">
        <f t="shared" si="4"/>
        <v/>
      </c>
    </row>
    <row r="151" spans="4:4" ht="15" customHeight="1" x14ac:dyDescent="0.35">
      <c r="D151" s="2" t="str">
        <f t="shared" si="4"/>
        <v/>
      </c>
    </row>
    <row r="152" spans="4:4" ht="15" customHeight="1" x14ac:dyDescent="0.35">
      <c r="D152" s="2" t="str">
        <f t="shared" si="4"/>
        <v/>
      </c>
    </row>
    <row r="153" spans="4:4" ht="15" customHeight="1" x14ac:dyDescent="0.35">
      <c r="D153" s="2" t="str">
        <f t="shared" si="4"/>
        <v/>
      </c>
    </row>
    <row r="154" spans="4:4" ht="15" customHeight="1" x14ac:dyDescent="0.35">
      <c r="D154" s="2" t="str">
        <f t="shared" si="4"/>
        <v/>
      </c>
    </row>
    <row r="155" spans="4:4" ht="15" customHeight="1" x14ac:dyDescent="0.35">
      <c r="D155" s="2" t="str">
        <f t="shared" si="4"/>
        <v/>
      </c>
    </row>
    <row r="156" spans="4:4" ht="15" customHeight="1" x14ac:dyDescent="0.35">
      <c r="D156" s="2" t="str">
        <f t="shared" si="4"/>
        <v/>
      </c>
    </row>
    <row r="157" spans="4:4" ht="15" customHeight="1" x14ac:dyDescent="0.35">
      <c r="D157" s="2" t="str">
        <f t="shared" si="4"/>
        <v/>
      </c>
    </row>
    <row r="158" spans="4:4" ht="15" customHeight="1" x14ac:dyDescent="0.35">
      <c r="D158" s="2" t="str">
        <f t="shared" si="4"/>
        <v/>
      </c>
    </row>
    <row r="159" spans="4:4" ht="15" customHeight="1" x14ac:dyDescent="0.35">
      <c r="D159" s="2" t="str">
        <f t="shared" si="4"/>
        <v/>
      </c>
    </row>
    <row r="160" spans="4:4" ht="15" customHeight="1" x14ac:dyDescent="0.35">
      <c r="D160" s="2" t="str">
        <f t="shared" si="4"/>
        <v/>
      </c>
    </row>
    <row r="161" spans="4:4" ht="15" customHeight="1" x14ac:dyDescent="0.35">
      <c r="D161" s="2" t="str">
        <f t="shared" si="4"/>
        <v/>
      </c>
    </row>
    <row r="162" spans="4:4" ht="15" customHeight="1" x14ac:dyDescent="0.35">
      <c r="D162" s="2" t="str">
        <f t="shared" si="4"/>
        <v/>
      </c>
    </row>
    <row r="163" spans="4:4" ht="15" customHeight="1" x14ac:dyDescent="0.35">
      <c r="D163" s="2" t="str">
        <f t="shared" si="4"/>
        <v/>
      </c>
    </row>
    <row r="164" spans="4:4" ht="15" customHeight="1" x14ac:dyDescent="0.35">
      <c r="D164" s="2" t="str">
        <f t="shared" ref="D164:D200" si="5">IF($A164="","",IF(OR($A164="",$B164=""),"Missing required field",IF(COUNTIF($A$4:$A$200,$A164)&gt;1,"Duplicate region name","OK")))</f>
        <v/>
      </c>
    </row>
    <row r="165" spans="4:4" ht="15" customHeight="1" x14ac:dyDescent="0.35">
      <c r="D165" s="2" t="str">
        <f t="shared" si="5"/>
        <v/>
      </c>
    </row>
    <row r="166" spans="4:4" ht="15" customHeight="1" x14ac:dyDescent="0.35">
      <c r="D166" s="2" t="str">
        <f t="shared" si="5"/>
        <v/>
      </c>
    </row>
    <row r="167" spans="4:4" ht="15" customHeight="1" x14ac:dyDescent="0.35">
      <c r="D167" s="2" t="str">
        <f t="shared" si="5"/>
        <v/>
      </c>
    </row>
    <row r="168" spans="4:4" ht="15" customHeight="1" x14ac:dyDescent="0.35">
      <c r="D168" s="2" t="str">
        <f t="shared" si="5"/>
        <v/>
      </c>
    </row>
    <row r="169" spans="4:4" ht="15" customHeight="1" x14ac:dyDescent="0.35">
      <c r="D169" s="2" t="str">
        <f t="shared" si="5"/>
        <v/>
      </c>
    </row>
    <row r="170" spans="4:4" ht="15" customHeight="1" x14ac:dyDescent="0.35">
      <c r="D170" s="2" t="str">
        <f t="shared" si="5"/>
        <v/>
      </c>
    </row>
    <row r="171" spans="4:4" ht="15" customHeight="1" x14ac:dyDescent="0.35">
      <c r="D171" s="2" t="str">
        <f t="shared" si="5"/>
        <v/>
      </c>
    </row>
    <row r="172" spans="4:4" ht="15" customHeight="1" x14ac:dyDescent="0.35">
      <c r="D172" s="2" t="str">
        <f t="shared" si="5"/>
        <v/>
      </c>
    </row>
    <row r="173" spans="4:4" ht="15" customHeight="1" x14ac:dyDescent="0.35">
      <c r="D173" s="2" t="str">
        <f t="shared" si="5"/>
        <v/>
      </c>
    </row>
    <row r="174" spans="4:4" ht="15" customHeight="1" x14ac:dyDescent="0.35">
      <c r="D174" s="2" t="str">
        <f t="shared" si="5"/>
        <v/>
      </c>
    </row>
    <row r="175" spans="4:4" ht="15" customHeight="1" x14ac:dyDescent="0.35">
      <c r="D175" s="2" t="str">
        <f t="shared" si="5"/>
        <v/>
      </c>
    </row>
    <row r="176" spans="4:4" ht="15" customHeight="1" x14ac:dyDescent="0.35">
      <c r="D176" s="2" t="str">
        <f t="shared" si="5"/>
        <v/>
      </c>
    </row>
    <row r="177" spans="4:4" ht="15" customHeight="1" x14ac:dyDescent="0.35">
      <c r="D177" s="2" t="str">
        <f t="shared" si="5"/>
        <v/>
      </c>
    </row>
    <row r="178" spans="4:4" ht="15" customHeight="1" x14ac:dyDescent="0.35">
      <c r="D178" s="2" t="str">
        <f t="shared" si="5"/>
        <v/>
      </c>
    </row>
    <row r="179" spans="4:4" ht="15" customHeight="1" x14ac:dyDescent="0.35">
      <c r="D179" s="2" t="str">
        <f t="shared" si="5"/>
        <v/>
      </c>
    </row>
    <row r="180" spans="4:4" ht="15" customHeight="1" x14ac:dyDescent="0.35">
      <c r="D180" s="2" t="str">
        <f t="shared" si="5"/>
        <v/>
      </c>
    </row>
    <row r="181" spans="4:4" ht="15" customHeight="1" x14ac:dyDescent="0.35">
      <c r="D181" s="2" t="str">
        <f t="shared" si="5"/>
        <v/>
      </c>
    </row>
    <row r="182" spans="4:4" ht="15" customHeight="1" x14ac:dyDescent="0.35">
      <c r="D182" s="2" t="str">
        <f t="shared" si="5"/>
        <v/>
      </c>
    </row>
    <row r="183" spans="4:4" ht="15" customHeight="1" x14ac:dyDescent="0.35">
      <c r="D183" s="2" t="str">
        <f t="shared" si="5"/>
        <v/>
      </c>
    </row>
    <row r="184" spans="4:4" ht="15" customHeight="1" x14ac:dyDescent="0.35">
      <c r="D184" s="2" t="str">
        <f t="shared" si="5"/>
        <v/>
      </c>
    </row>
    <row r="185" spans="4:4" ht="15" customHeight="1" x14ac:dyDescent="0.35">
      <c r="D185" s="2" t="str">
        <f t="shared" si="5"/>
        <v/>
      </c>
    </row>
    <row r="186" spans="4:4" ht="15" customHeight="1" x14ac:dyDescent="0.35">
      <c r="D186" s="2" t="str">
        <f t="shared" si="5"/>
        <v/>
      </c>
    </row>
    <row r="187" spans="4:4" ht="15" customHeight="1" x14ac:dyDescent="0.35">
      <c r="D187" s="2" t="str">
        <f t="shared" si="5"/>
        <v/>
      </c>
    </row>
    <row r="188" spans="4:4" ht="15" customHeight="1" x14ac:dyDescent="0.35">
      <c r="D188" s="2" t="str">
        <f t="shared" si="5"/>
        <v/>
      </c>
    </row>
    <row r="189" spans="4:4" ht="15" customHeight="1" x14ac:dyDescent="0.35">
      <c r="D189" s="2" t="str">
        <f t="shared" si="5"/>
        <v/>
      </c>
    </row>
    <row r="190" spans="4:4" ht="15" customHeight="1" x14ac:dyDescent="0.35">
      <c r="D190" s="2" t="str">
        <f t="shared" si="5"/>
        <v/>
      </c>
    </row>
    <row r="191" spans="4:4" ht="15" customHeight="1" x14ac:dyDescent="0.35">
      <c r="D191" s="2" t="str">
        <f t="shared" si="5"/>
        <v/>
      </c>
    </row>
    <row r="192" spans="4:4" ht="15" customHeight="1" x14ac:dyDescent="0.35">
      <c r="D192" s="2" t="str">
        <f t="shared" si="5"/>
        <v/>
      </c>
    </row>
    <row r="193" spans="4:4" ht="15" customHeight="1" x14ac:dyDescent="0.35">
      <c r="D193" s="2" t="str">
        <f t="shared" si="5"/>
        <v/>
      </c>
    </row>
    <row r="194" spans="4:4" ht="15" customHeight="1" x14ac:dyDescent="0.35">
      <c r="D194" s="2" t="str">
        <f t="shared" si="5"/>
        <v/>
      </c>
    </row>
    <row r="195" spans="4:4" ht="15" customHeight="1" x14ac:dyDescent="0.35">
      <c r="D195" s="2" t="str">
        <f t="shared" si="5"/>
        <v/>
      </c>
    </row>
    <row r="196" spans="4:4" ht="15" customHeight="1" x14ac:dyDescent="0.35">
      <c r="D196" s="2" t="str">
        <f t="shared" si="5"/>
        <v/>
      </c>
    </row>
    <row r="197" spans="4:4" ht="15" customHeight="1" x14ac:dyDescent="0.35">
      <c r="D197" s="2" t="str">
        <f t="shared" si="5"/>
        <v/>
      </c>
    </row>
    <row r="198" spans="4:4" ht="15" customHeight="1" x14ac:dyDescent="0.35">
      <c r="D198" s="2" t="str">
        <f t="shared" si="5"/>
        <v/>
      </c>
    </row>
    <row r="199" spans="4:4" ht="15" customHeight="1" x14ac:dyDescent="0.35">
      <c r="D199" s="2" t="str">
        <f t="shared" si="5"/>
        <v/>
      </c>
    </row>
    <row r="200" spans="4:4" ht="15" customHeight="1" x14ac:dyDescent="0.35">
      <c r="D200" s="2" t="str">
        <f t="shared" si="5"/>
        <v/>
      </c>
    </row>
  </sheetData>
  <mergeCells count="2">
    <mergeCell ref="A1:C1"/>
    <mergeCell ref="A2:C2"/>
  </mergeCells>
  <conditionalFormatting sqref="D4:D200">
    <cfRule type="expression" dxfId="15" priority="2">
      <formula>AND(D4&lt;&gt;"",D4&lt;&gt;"OK")</formula>
    </cfRule>
    <cfRule type="expression" dxfId="14" priority="3">
      <formula>D4="OK"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0"/>
  <sheetViews>
    <sheetView showGridLines="0" topLeftCell="C1" workbookViewId="0">
      <selection activeCell="I11" sqref="I11"/>
    </sheetView>
  </sheetViews>
  <sheetFormatPr defaultColWidth="8.54296875" defaultRowHeight="14.5" x14ac:dyDescent="0.35"/>
  <cols>
    <col min="1" max="1" width="24" style="1" customWidth="1"/>
    <col min="2" max="2" width="18" style="1" customWidth="1"/>
    <col min="3" max="3" width="16" style="1" customWidth="1"/>
    <col min="4" max="4" width="30" style="1" customWidth="1"/>
    <col min="5" max="5" width="20" style="1" customWidth="1"/>
    <col min="6" max="6" width="21.1796875" style="1" customWidth="1"/>
    <col min="7" max="7" width="27" style="1" customWidth="1"/>
    <col min="8" max="8" width="28" style="1" customWidth="1"/>
    <col min="9" max="9" width="32" style="1" customWidth="1"/>
  </cols>
  <sheetData>
    <row r="1" spans="1:9" s="17" customFormat="1" ht="21.75" customHeight="1" x14ac:dyDescent="0.4">
      <c r="A1" s="68" t="s">
        <v>23</v>
      </c>
      <c r="B1" s="68"/>
      <c r="C1" s="68"/>
      <c r="D1" s="68"/>
      <c r="E1" s="68"/>
      <c r="F1" s="68"/>
      <c r="G1" s="70"/>
      <c r="H1" s="47"/>
      <c r="I1" s="47"/>
    </row>
    <row r="2" spans="1:9" ht="15.75" customHeight="1" x14ac:dyDescent="0.35">
      <c r="A2" s="69" t="s">
        <v>112</v>
      </c>
      <c r="B2" s="69"/>
      <c r="C2" s="69"/>
      <c r="D2" s="69"/>
      <c r="E2" s="69"/>
      <c r="F2" s="69"/>
      <c r="G2" s="71"/>
      <c r="H2" s="48"/>
      <c r="I2" s="48"/>
    </row>
    <row r="3" spans="1:9" s="19" customFormat="1" ht="30" customHeight="1" x14ac:dyDescent="0.35">
      <c r="A3" s="42" t="s">
        <v>113</v>
      </c>
      <c r="B3" s="42" t="s">
        <v>90</v>
      </c>
      <c r="C3" s="42" t="s">
        <v>114</v>
      </c>
      <c r="D3" s="42" t="s">
        <v>115</v>
      </c>
      <c r="E3" s="42" t="s">
        <v>116</v>
      </c>
      <c r="F3" s="42" t="s">
        <v>117</v>
      </c>
      <c r="G3" s="43" t="s">
        <v>48</v>
      </c>
      <c r="H3" s="49" t="s">
        <v>118</v>
      </c>
      <c r="I3" s="49" t="s">
        <v>50</v>
      </c>
    </row>
    <row r="4" spans="1:9" ht="15" customHeight="1" x14ac:dyDescent="0.35">
      <c r="A4" s="39" t="s">
        <v>56</v>
      </c>
      <c r="B4" s="39" t="s">
        <v>55</v>
      </c>
      <c r="C4" s="39" t="s">
        <v>119</v>
      </c>
      <c r="D4" s="39" t="s">
        <v>120</v>
      </c>
      <c r="E4" s="39" t="s">
        <v>121</v>
      </c>
      <c r="F4" s="39" t="s">
        <v>122</v>
      </c>
      <c r="G4" s="44" t="s">
        <v>123</v>
      </c>
      <c r="H4" s="35" t="s">
        <v>124</v>
      </c>
      <c r="I4" s="35" t="str">
        <f t="shared" ref="I4:I35" si="0">IF($A4="","",IF(OR($A4="",$B4=""),"Missing required field",IF(COUNTIF($A$4:$A$200,$A4)&gt;1,"Duplicate outlet name","OK")))</f>
        <v>OK</v>
      </c>
    </row>
    <row r="5" spans="1:9" ht="15" customHeight="1" x14ac:dyDescent="0.35">
      <c r="A5" s="30"/>
      <c r="B5" s="30"/>
      <c r="C5" s="30" t="s">
        <v>373</v>
      </c>
      <c r="D5" s="1" t="s">
        <v>380</v>
      </c>
      <c r="E5" s="30" t="s">
        <v>374</v>
      </c>
      <c r="F5" s="30"/>
      <c r="G5" s="45"/>
      <c r="H5" s="48" t="s">
        <v>74</v>
      </c>
      <c r="I5" s="30" t="str">
        <f t="shared" si="0"/>
        <v/>
      </c>
    </row>
    <row r="6" spans="1:9" ht="15" customHeight="1" x14ac:dyDescent="0.35">
      <c r="A6" s="30"/>
      <c r="B6" s="30"/>
      <c r="C6" s="30" t="s">
        <v>373</v>
      </c>
      <c r="D6" s="30" t="s">
        <v>380</v>
      </c>
      <c r="E6" s="30" t="s">
        <v>375</v>
      </c>
      <c r="F6" s="30"/>
      <c r="G6" s="45"/>
      <c r="H6" s="48" t="s">
        <v>74</v>
      </c>
      <c r="I6" s="30" t="str">
        <f t="shared" si="0"/>
        <v/>
      </c>
    </row>
    <row r="7" spans="1:9" ht="15" customHeight="1" x14ac:dyDescent="0.35">
      <c r="A7" s="30"/>
      <c r="B7" s="30"/>
      <c r="C7" s="30" t="s">
        <v>373</v>
      </c>
      <c r="D7" s="30" t="s">
        <v>366</v>
      </c>
      <c r="E7" s="30" t="s">
        <v>376</v>
      </c>
      <c r="F7" s="30"/>
      <c r="G7" s="45"/>
      <c r="H7" s="48" t="s">
        <v>74</v>
      </c>
      <c r="I7" s="30" t="str">
        <f t="shared" si="0"/>
        <v/>
      </c>
    </row>
    <row r="8" spans="1:9" ht="15" customHeight="1" x14ac:dyDescent="0.35">
      <c r="A8" s="30"/>
      <c r="B8" s="30"/>
      <c r="C8" s="30" t="s">
        <v>373</v>
      </c>
      <c r="D8" s="30" t="s">
        <v>365</v>
      </c>
      <c r="E8" s="30" t="s">
        <v>377</v>
      </c>
      <c r="F8" s="30"/>
      <c r="G8" s="45"/>
      <c r="H8" s="48" t="s">
        <v>74</v>
      </c>
      <c r="I8" s="30" t="str">
        <f t="shared" si="0"/>
        <v/>
      </c>
    </row>
    <row r="9" spans="1:9" ht="15" customHeight="1" x14ac:dyDescent="0.35">
      <c r="A9" s="30"/>
      <c r="B9" s="30"/>
      <c r="C9" s="30" t="s">
        <v>373</v>
      </c>
      <c r="D9" s="30" t="s">
        <v>380</v>
      </c>
      <c r="E9" s="30" t="s">
        <v>378</v>
      </c>
      <c r="F9" s="30"/>
      <c r="G9" s="45"/>
      <c r="H9" s="48" t="s">
        <v>74</v>
      </c>
      <c r="I9" s="30" t="str">
        <f t="shared" si="0"/>
        <v/>
      </c>
    </row>
    <row r="10" spans="1:9" ht="15" customHeight="1" x14ac:dyDescent="0.35">
      <c r="A10" s="30"/>
      <c r="B10" s="30"/>
      <c r="C10" s="30" t="s">
        <v>373</v>
      </c>
      <c r="D10" s="30" t="s">
        <v>380</v>
      </c>
      <c r="E10" s="30" t="s">
        <v>379</v>
      </c>
      <c r="F10" s="30"/>
      <c r="G10" s="45"/>
      <c r="H10" s="48" t="s">
        <v>74</v>
      </c>
      <c r="I10" s="30" t="str">
        <f t="shared" si="0"/>
        <v/>
      </c>
    </row>
    <row r="11" spans="1:9" ht="15" customHeight="1" x14ac:dyDescent="0.35">
      <c r="A11" s="30"/>
      <c r="B11" s="30"/>
      <c r="C11" s="30" t="s">
        <v>373</v>
      </c>
      <c r="D11" s="30" t="s">
        <v>380</v>
      </c>
      <c r="E11" s="30" t="s">
        <v>381</v>
      </c>
      <c r="F11" s="30"/>
      <c r="G11" s="45"/>
      <c r="H11" s="48" t="s">
        <v>58</v>
      </c>
      <c r="I11" s="30" t="str">
        <f t="shared" si="0"/>
        <v/>
      </c>
    </row>
    <row r="12" spans="1:9" ht="15" customHeight="1" x14ac:dyDescent="0.35">
      <c r="A12" s="30"/>
      <c r="B12" s="30"/>
      <c r="C12" s="30" t="s">
        <v>373</v>
      </c>
      <c r="D12" s="30" t="s">
        <v>380</v>
      </c>
      <c r="E12" s="30" t="s">
        <v>382</v>
      </c>
      <c r="F12" s="30"/>
      <c r="G12" s="45"/>
      <c r="H12" s="48" t="s">
        <v>58</v>
      </c>
      <c r="I12" s="30" t="str">
        <f t="shared" si="0"/>
        <v/>
      </c>
    </row>
    <row r="13" spans="1:9" ht="15" customHeight="1" x14ac:dyDescent="0.35">
      <c r="A13" s="30"/>
      <c r="B13" s="30"/>
      <c r="C13" s="30" t="s">
        <v>373</v>
      </c>
      <c r="D13" s="30" t="s">
        <v>366</v>
      </c>
      <c r="E13" s="30" t="s">
        <v>383</v>
      </c>
      <c r="F13" s="30"/>
      <c r="G13" s="45"/>
      <c r="H13" s="48" t="s">
        <v>58</v>
      </c>
      <c r="I13" s="30" t="str">
        <f t="shared" si="0"/>
        <v/>
      </c>
    </row>
    <row r="14" spans="1:9" ht="15" customHeight="1" x14ac:dyDescent="0.35">
      <c r="A14" s="30"/>
      <c r="B14" s="30"/>
      <c r="C14" s="30"/>
      <c r="D14" s="30"/>
      <c r="E14" s="30"/>
      <c r="F14" s="30"/>
      <c r="G14" s="45"/>
      <c r="H14" s="48"/>
      <c r="I14" s="30" t="str">
        <f t="shared" si="0"/>
        <v/>
      </c>
    </row>
    <row r="15" spans="1:9" ht="15" customHeight="1" x14ac:dyDescent="0.35">
      <c r="A15" s="30"/>
      <c r="B15" s="30"/>
      <c r="C15" s="30"/>
      <c r="D15" s="30"/>
      <c r="E15" s="30"/>
      <c r="F15" s="30"/>
      <c r="G15" s="45"/>
      <c r="H15" s="48"/>
      <c r="I15" s="30" t="str">
        <f t="shared" si="0"/>
        <v/>
      </c>
    </row>
    <row r="16" spans="1:9" ht="15" customHeight="1" x14ac:dyDescent="0.35">
      <c r="A16" s="30"/>
      <c r="B16" s="30"/>
      <c r="C16" s="30"/>
      <c r="D16" s="30"/>
      <c r="E16" s="30"/>
      <c r="F16" s="30"/>
      <c r="G16" s="45"/>
      <c r="H16" s="48"/>
      <c r="I16" s="30" t="str">
        <f t="shared" si="0"/>
        <v/>
      </c>
    </row>
    <row r="17" spans="1:9" ht="15" customHeight="1" x14ac:dyDescent="0.35">
      <c r="A17" s="30"/>
      <c r="B17" s="30"/>
      <c r="C17" s="30"/>
      <c r="D17" s="30"/>
      <c r="E17" s="30"/>
      <c r="F17" s="30"/>
      <c r="G17" s="45"/>
      <c r="H17" s="48"/>
      <c r="I17" s="30" t="str">
        <f t="shared" si="0"/>
        <v/>
      </c>
    </row>
    <row r="18" spans="1:9" ht="15" customHeight="1" x14ac:dyDescent="0.35">
      <c r="A18" s="30"/>
      <c r="B18" s="30"/>
      <c r="C18" s="30"/>
      <c r="D18" s="30"/>
      <c r="E18" s="30"/>
      <c r="F18" s="30"/>
      <c r="G18" s="45"/>
      <c r="H18" s="48"/>
      <c r="I18" s="30" t="str">
        <f t="shared" si="0"/>
        <v/>
      </c>
    </row>
    <row r="19" spans="1:9" ht="15" customHeight="1" x14ac:dyDescent="0.35">
      <c r="A19" s="30"/>
      <c r="B19" s="30"/>
      <c r="C19" s="30"/>
      <c r="D19" s="30"/>
      <c r="E19" s="30"/>
      <c r="F19" s="30"/>
      <c r="G19" s="45"/>
      <c r="H19" s="48"/>
      <c r="I19" s="30" t="str">
        <f t="shared" si="0"/>
        <v/>
      </c>
    </row>
    <row r="20" spans="1:9" ht="15" customHeight="1" x14ac:dyDescent="0.35">
      <c r="A20" s="30"/>
      <c r="B20" s="30"/>
      <c r="C20" s="30"/>
      <c r="D20" s="30"/>
      <c r="E20" s="30"/>
      <c r="F20" s="30"/>
      <c r="G20" s="45"/>
      <c r="H20" s="48"/>
      <c r="I20" s="30" t="str">
        <f t="shared" si="0"/>
        <v/>
      </c>
    </row>
    <row r="21" spans="1:9" ht="15" customHeight="1" x14ac:dyDescent="0.35">
      <c r="A21" s="30"/>
      <c r="B21" s="30"/>
      <c r="C21" s="30"/>
      <c r="D21" s="30"/>
      <c r="E21" s="30"/>
      <c r="F21" s="30"/>
      <c r="G21" s="45"/>
      <c r="H21" s="48"/>
      <c r="I21" s="30" t="str">
        <f t="shared" si="0"/>
        <v/>
      </c>
    </row>
    <row r="22" spans="1:9" ht="15" customHeight="1" x14ac:dyDescent="0.35">
      <c r="A22" s="30"/>
      <c r="B22" s="30"/>
      <c r="C22" s="30"/>
      <c r="D22" s="30"/>
      <c r="E22" s="30"/>
      <c r="F22" s="30"/>
      <c r="G22" s="30"/>
      <c r="I22" s="2" t="str">
        <f t="shared" si="0"/>
        <v/>
      </c>
    </row>
    <row r="23" spans="1:9" ht="15" customHeight="1" x14ac:dyDescent="0.35">
      <c r="A23" s="36"/>
      <c r="B23" s="36"/>
      <c r="C23" s="36"/>
      <c r="D23" s="36"/>
      <c r="E23" s="36"/>
      <c r="F23" s="36"/>
      <c r="G23" s="36"/>
      <c r="I23" s="2" t="str">
        <f t="shared" si="0"/>
        <v/>
      </c>
    </row>
    <row r="24" spans="1:9" ht="15" customHeight="1" x14ac:dyDescent="0.35">
      <c r="A24" s="5"/>
      <c r="B24" s="5"/>
      <c r="C24" s="5"/>
      <c r="D24" s="5"/>
      <c r="E24" s="5"/>
      <c r="F24" s="5"/>
      <c r="G24" s="5"/>
      <c r="I24" s="2" t="str">
        <f t="shared" si="0"/>
        <v/>
      </c>
    </row>
    <row r="25" spans="1:9" ht="15" customHeight="1" x14ac:dyDescent="0.35">
      <c r="A25" s="5"/>
      <c r="B25" s="5"/>
      <c r="C25" s="5"/>
      <c r="D25" s="5"/>
      <c r="E25" s="5"/>
      <c r="F25" s="5"/>
      <c r="G25" s="5"/>
      <c r="I25" s="2" t="str">
        <f t="shared" si="0"/>
        <v/>
      </c>
    </row>
    <row r="26" spans="1:9" ht="15" customHeight="1" x14ac:dyDescent="0.35">
      <c r="A26" s="5"/>
      <c r="B26" s="5"/>
      <c r="C26" s="5"/>
      <c r="D26" s="5"/>
      <c r="E26" s="5"/>
      <c r="F26" s="5"/>
      <c r="G26" s="5"/>
      <c r="I26" s="2" t="str">
        <f t="shared" si="0"/>
        <v/>
      </c>
    </row>
    <row r="27" spans="1:9" ht="15" customHeight="1" x14ac:dyDescent="0.35">
      <c r="A27" s="5"/>
      <c r="B27" s="5"/>
      <c r="C27" s="5"/>
      <c r="D27" s="5"/>
      <c r="E27" s="5"/>
      <c r="F27" s="5"/>
      <c r="G27" s="5"/>
      <c r="I27" s="2" t="str">
        <f t="shared" si="0"/>
        <v/>
      </c>
    </row>
    <row r="28" spans="1:9" ht="15" customHeight="1" x14ac:dyDescent="0.35">
      <c r="A28" s="5"/>
      <c r="B28" s="5"/>
      <c r="C28" s="5"/>
      <c r="D28" s="5"/>
      <c r="E28" s="5"/>
      <c r="F28" s="5"/>
      <c r="G28" s="5"/>
      <c r="I28" s="2" t="str">
        <f t="shared" si="0"/>
        <v/>
      </c>
    </row>
    <row r="29" spans="1:9" ht="15" customHeight="1" x14ac:dyDescent="0.35">
      <c r="A29" s="5"/>
      <c r="B29" s="5"/>
      <c r="C29" s="5"/>
      <c r="D29" s="5"/>
      <c r="E29" s="5"/>
      <c r="F29" s="5"/>
      <c r="G29" s="5"/>
      <c r="I29" s="2" t="str">
        <f t="shared" si="0"/>
        <v/>
      </c>
    </row>
    <row r="30" spans="1:9" ht="15" customHeight="1" x14ac:dyDescent="0.35">
      <c r="A30" s="5"/>
      <c r="B30" s="5"/>
      <c r="C30" s="5"/>
      <c r="D30" s="5"/>
      <c r="E30" s="5"/>
      <c r="F30" s="5"/>
      <c r="G30" s="5"/>
      <c r="I30" s="2" t="str">
        <f t="shared" si="0"/>
        <v/>
      </c>
    </row>
    <row r="31" spans="1:9" ht="15" customHeight="1" x14ac:dyDescent="0.35">
      <c r="A31" s="5"/>
      <c r="B31" s="5"/>
      <c r="C31" s="5"/>
      <c r="D31" s="5"/>
      <c r="E31" s="5"/>
      <c r="F31" s="5"/>
      <c r="G31" s="5"/>
      <c r="I31" s="2" t="str">
        <f t="shared" si="0"/>
        <v/>
      </c>
    </row>
    <row r="32" spans="1:9" ht="15" customHeight="1" x14ac:dyDescent="0.35">
      <c r="A32" s="5"/>
      <c r="B32" s="5"/>
      <c r="C32" s="5"/>
      <c r="D32" s="5"/>
      <c r="E32" s="5"/>
      <c r="F32" s="5"/>
      <c r="G32" s="5"/>
      <c r="I32" s="2" t="str">
        <f t="shared" si="0"/>
        <v/>
      </c>
    </row>
    <row r="33" spans="1:9" ht="15" customHeight="1" x14ac:dyDescent="0.35">
      <c r="A33" s="5"/>
      <c r="B33" s="5"/>
      <c r="C33" s="5"/>
      <c r="D33" s="5"/>
      <c r="E33" s="5"/>
      <c r="F33" s="5"/>
      <c r="G33" s="5"/>
      <c r="I33" s="2" t="str">
        <f t="shared" si="0"/>
        <v/>
      </c>
    </row>
    <row r="34" spans="1:9" ht="15" customHeight="1" x14ac:dyDescent="0.35">
      <c r="A34" s="5"/>
      <c r="B34" s="5"/>
      <c r="C34" s="5"/>
      <c r="D34" s="5"/>
      <c r="E34" s="5"/>
      <c r="F34" s="5"/>
      <c r="G34" s="5"/>
      <c r="I34" s="2" t="str">
        <f t="shared" si="0"/>
        <v/>
      </c>
    </row>
    <row r="35" spans="1:9" ht="15" customHeight="1" x14ac:dyDescent="0.35">
      <c r="A35" s="5"/>
      <c r="B35" s="5"/>
      <c r="C35" s="5"/>
      <c r="D35" s="5"/>
      <c r="E35" s="5"/>
      <c r="F35" s="5"/>
      <c r="G35" s="5"/>
      <c r="I35" s="2" t="str">
        <f t="shared" si="0"/>
        <v/>
      </c>
    </row>
    <row r="36" spans="1:9" ht="15" customHeight="1" x14ac:dyDescent="0.35">
      <c r="A36" s="5"/>
      <c r="B36" s="5"/>
      <c r="C36" s="5"/>
      <c r="D36" s="5"/>
      <c r="E36" s="5"/>
      <c r="F36" s="5"/>
      <c r="G36" s="5"/>
      <c r="I36" s="2" t="str">
        <f t="shared" ref="I36:I67" si="1">IF($A36="","",IF(OR($A36="",$B36=""),"Missing required field",IF(COUNTIF($A$4:$A$200,$A36)&gt;1,"Duplicate outlet name","OK")))</f>
        <v/>
      </c>
    </row>
    <row r="37" spans="1:9" ht="15" customHeight="1" x14ac:dyDescent="0.35">
      <c r="A37" s="5"/>
      <c r="B37" s="5"/>
      <c r="C37" s="5"/>
      <c r="D37" s="5"/>
      <c r="E37" s="5"/>
      <c r="F37" s="5"/>
      <c r="G37" s="5"/>
      <c r="I37" s="2" t="str">
        <f t="shared" si="1"/>
        <v/>
      </c>
    </row>
    <row r="38" spans="1:9" ht="15" customHeight="1" x14ac:dyDescent="0.35">
      <c r="A38" s="5"/>
      <c r="B38" s="5"/>
      <c r="C38" s="5"/>
      <c r="D38" s="5"/>
      <c r="E38" s="5"/>
      <c r="F38" s="5"/>
      <c r="G38" s="5"/>
      <c r="I38" s="2" t="str">
        <f t="shared" si="1"/>
        <v/>
      </c>
    </row>
    <row r="39" spans="1:9" ht="15" customHeight="1" x14ac:dyDescent="0.35">
      <c r="A39" s="5"/>
      <c r="B39" s="5"/>
      <c r="C39" s="5"/>
      <c r="D39" s="5"/>
      <c r="E39" s="5"/>
      <c r="F39" s="5"/>
      <c r="G39" s="5"/>
      <c r="I39" s="2" t="str">
        <f t="shared" si="1"/>
        <v/>
      </c>
    </row>
    <row r="40" spans="1:9" ht="15" customHeight="1" x14ac:dyDescent="0.35">
      <c r="I40" s="2" t="str">
        <f t="shared" si="1"/>
        <v/>
      </c>
    </row>
    <row r="41" spans="1:9" ht="15" customHeight="1" x14ac:dyDescent="0.35">
      <c r="I41" s="2" t="str">
        <f t="shared" si="1"/>
        <v/>
      </c>
    </row>
    <row r="42" spans="1:9" ht="15" customHeight="1" x14ac:dyDescent="0.35">
      <c r="I42" s="2" t="str">
        <f t="shared" si="1"/>
        <v/>
      </c>
    </row>
    <row r="43" spans="1:9" ht="15" customHeight="1" x14ac:dyDescent="0.35">
      <c r="I43" s="2" t="str">
        <f t="shared" si="1"/>
        <v/>
      </c>
    </row>
    <row r="44" spans="1:9" ht="15" customHeight="1" x14ac:dyDescent="0.35">
      <c r="I44" s="2" t="str">
        <f t="shared" si="1"/>
        <v/>
      </c>
    </row>
    <row r="45" spans="1:9" ht="15" customHeight="1" x14ac:dyDescent="0.35">
      <c r="I45" s="2" t="str">
        <f t="shared" si="1"/>
        <v/>
      </c>
    </row>
    <row r="46" spans="1:9" ht="15" customHeight="1" x14ac:dyDescent="0.35">
      <c r="I46" s="2" t="str">
        <f t="shared" si="1"/>
        <v/>
      </c>
    </row>
    <row r="47" spans="1:9" ht="15" customHeight="1" x14ac:dyDescent="0.35">
      <c r="I47" s="2" t="str">
        <f t="shared" si="1"/>
        <v/>
      </c>
    </row>
    <row r="48" spans="1:9" ht="15" customHeight="1" x14ac:dyDescent="0.35">
      <c r="I48" s="2" t="str">
        <f t="shared" si="1"/>
        <v/>
      </c>
    </row>
    <row r="49" spans="9:9" ht="15" customHeight="1" x14ac:dyDescent="0.35">
      <c r="I49" s="2" t="str">
        <f t="shared" si="1"/>
        <v/>
      </c>
    </row>
    <row r="50" spans="9:9" ht="15" customHeight="1" x14ac:dyDescent="0.35">
      <c r="I50" s="2" t="str">
        <f t="shared" si="1"/>
        <v/>
      </c>
    </row>
    <row r="51" spans="9:9" ht="15" customHeight="1" x14ac:dyDescent="0.35">
      <c r="I51" s="2" t="str">
        <f t="shared" si="1"/>
        <v/>
      </c>
    </row>
    <row r="52" spans="9:9" ht="15" customHeight="1" x14ac:dyDescent="0.35">
      <c r="I52" s="2" t="str">
        <f t="shared" si="1"/>
        <v/>
      </c>
    </row>
    <row r="53" spans="9:9" ht="15" customHeight="1" x14ac:dyDescent="0.35">
      <c r="I53" s="2" t="str">
        <f t="shared" si="1"/>
        <v/>
      </c>
    </row>
    <row r="54" spans="9:9" ht="15" customHeight="1" x14ac:dyDescent="0.35">
      <c r="I54" s="2" t="str">
        <f t="shared" si="1"/>
        <v/>
      </c>
    </row>
    <row r="55" spans="9:9" ht="15" customHeight="1" x14ac:dyDescent="0.35">
      <c r="I55" s="2" t="str">
        <f t="shared" si="1"/>
        <v/>
      </c>
    </row>
    <row r="56" spans="9:9" ht="15" customHeight="1" x14ac:dyDescent="0.35">
      <c r="I56" s="2" t="str">
        <f t="shared" si="1"/>
        <v/>
      </c>
    </row>
    <row r="57" spans="9:9" ht="15" customHeight="1" x14ac:dyDescent="0.35">
      <c r="I57" s="2" t="str">
        <f t="shared" si="1"/>
        <v/>
      </c>
    </row>
    <row r="58" spans="9:9" ht="15" customHeight="1" x14ac:dyDescent="0.35">
      <c r="I58" s="2" t="str">
        <f t="shared" si="1"/>
        <v/>
      </c>
    </row>
    <row r="59" spans="9:9" ht="15" customHeight="1" x14ac:dyDescent="0.35">
      <c r="I59" s="2" t="str">
        <f t="shared" si="1"/>
        <v/>
      </c>
    </row>
    <row r="60" spans="9:9" ht="15" customHeight="1" x14ac:dyDescent="0.35">
      <c r="I60" s="2" t="str">
        <f t="shared" si="1"/>
        <v/>
      </c>
    </row>
    <row r="61" spans="9:9" ht="15" customHeight="1" x14ac:dyDescent="0.35">
      <c r="I61" s="2" t="str">
        <f t="shared" si="1"/>
        <v/>
      </c>
    </row>
    <row r="62" spans="9:9" ht="15" customHeight="1" x14ac:dyDescent="0.35">
      <c r="I62" s="2" t="str">
        <f t="shared" si="1"/>
        <v/>
      </c>
    </row>
    <row r="63" spans="9:9" ht="15" customHeight="1" x14ac:dyDescent="0.35">
      <c r="I63" s="2" t="str">
        <f t="shared" si="1"/>
        <v/>
      </c>
    </row>
    <row r="64" spans="9:9" ht="15" customHeight="1" x14ac:dyDescent="0.35">
      <c r="I64" s="2" t="str">
        <f t="shared" si="1"/>
        <v/>
      </c>
    </row>
    <row r="65" spans="9:9" ht="15" customHeight="1" x14ac:dyDescent="0.35">
      <c r="I65" s="2" t="str">
        <f t="shared" si="1"/>
        <v/>
      </c>
    </row>
    <row r="66" spans="9:9" ht="15" customHeight="1" x14ac:dyDescent="0.35">
      <c r="I66" s="2" t="str">
        <f t="shared" si="1"/>
        <v/>
      </c>
    </row>
    <row r="67" spans="9:9" ht="15" customHeight="1" x14ac:dyDescent="0.35">
      <c r="I67" s="2" t="str">
        <f t="shared" si="1"/>
        <v/>
      </c>
    </row>
    <row r="68" spans="9:9" ht="15" customHeight="1" x14ac:dyDescent="0.35">
      <c r="I68" s="2" t="str">
        <f t="shared" ref="I68:I99" si="2">IF($A68="","",IF(OR($A68="",$B68=""),"Missing required field",IF(COUNTIF($A$4:$A$200,$A68)&gt;1,"Duplicate outlet name","OK")))</f>
        <v/>
      </c>
    </row>
    <row r="69" spans="9:9" ht="15" customHeight="1" x14ac:dyDescent="0.35">
      <c r="I69" s="2" t="str">
        <f t="shared" si="2"/>
        <v/>
      </c>
    </row>
    <row r="70" spans="9:9" ht="15" customHeight="1" x14ac:dyDescent="0.35">
      <c r="I70" s="2" t="str">
        <f t="shared" si="2"/>
        <v/>
      </c>
    </row>
    <row r="71" spans="9:9" ht="15" customHeight="1" x14ac:dyDescent="0.35">
      <c r="I71" s="2" t="str">
        <f t="shared" si="2"/>
        <v/>
      </c>
    </row>
    <row r="72" spans="9:9" ht="15" customHeight="1" x14ac:dyDescent="0.35">
      <c r="I72" s="2" t="str">
        <f t="shared" si="2"/>
        <v/>
      </c>
    </row>
    <row r="73" spans="9:9" ht="15" customHeight="1" x14ac:dyDescent="0.35">
      <c r="I73" s="2" t="str">
        <f t="shared" si="2"/>
        <v/>
      </c>
    </row>
    <row r="74" spans="9:9" ht="15" customHeight="1" x14ac:dyDescent="0.35">
      <c r="I74" s="2" t="str">
        <f t="shared" si="2"/>
        <v/>
      </c>
    </row>
    <row r="75" spans="9:9" ht="15" customHeight="1" x14ac:dyDescent="0.35">
      <c r="I75" s="2" t="str">
        <f t="shared" si="2"/>
        <v/>
      </c>
    </row>
    <row r="76" spans="9:9" ht="15" customHeight="1" x14ac:dyDescent="0.35">
      <c r="I76" s="2" t="str">
        <f t="shared" si="2"/>
        <v/>
      </c>
    </row>
    <row r="77" spans="9:9" ht="15" customHeight="1" x14ac:dyDescent="0.35">
      <c r="I77" s="2" t="str">
        <f t="shared" si="2"/>
        <v/>
      </c>
    </row>
    <row r="78" spans="9:9" ht="15" customHeight="1" x14ac:dyDescent="0.35">
      <c r="I78" s="2" t="str">
        <f t="shared" si="2"/>
        <v/>
      </c>
    </row>
    <row r="79" spans="9:9" ht="15" customHeight="1" x14ac:dyDescent="0.35">
      <c r="I79" s="2" t="str">
        <f t="shared" si="2"/>
        <v/>
      </c>
    </row>
    <row r="80" spans="9:9" ht="15" customHeight="1" x14ac:dyDescent="0.35">
      <c r="I80" s="2" t="str">
        <f t="shared" si="2"/>
        <v/>
      </c>
    </row>
    <row r="81" spans="9:9" ht="15" customHeight="1" x14ac:dyDescent="0.35">
      <c r="I81" s="2" t="str">
        <f t="shared" si="2"/>
        <v/>
      </c>
    </row>
    <row r="82" spans="9:9" ht="15" customHeight="1" x14ac:dyDescent="0.35">
      <c r="I82" s="2" t="str">
        <f t="shared" si="2"/>
        <v/>
      </c>
    </row>
    <row r="83" spans="9:9" ht="15" customHeight="1" x14ac:dyDescent="0.35">
      <c r="I83" s="2" t="str">
        <f t="shared" si="2"/>
        <v/>
      </c>
    </row>
    <row r="84" spans="9:9" ht="15" customHeight="1" x14ac:dyDescent="0.35">
      <c r="I84" s="2" t="str">
        <f t="shared" si="2"/>
        <v/>
      </c>
    </row>
    <row r="85" spans="9:9" ht="15" customHeight="1" x14ac:dyDescent="0.35">
      <c r="I85" s="2" t="str">
        <f t="shared" si="2"/>
        <v/>
      </c>
    </row>
    <row r="86" spans="9:9" ht="15" customHeight="1" x14ac:dyDescent="0.35">
      <c r="I86" s="2" t="str">
        <f t="shared" si="2"/>
        <v/>
      </c>
    </row>
    <row r="87" spans="9:9" ht="15" customHeight="1" x14ac:dyDescent="0.35">
      <c r="I87" s="2" t="str">
        <f t="shared" si="2"/>
        <v/>
      </c>
    </row>
    <row r="88" spans="9:9" ht="15" customHeight="1" x14ac:dyDescent="0.35">
      <c r="I88" s="2" t="str">
        <f t="shared" si="2"/>
        <v/>
      </c>
    </row>
    <row r="89" spans="9:9" ht="15" customHeight="1" x14ac:dyDescent="0.35">
      <c r="I89" s="2" t="str">
        <f t="shared" si="2"/>
        <v/>
      </c>
    </row>
    <row r="90" spans="9:9" ht="15" customHeight="1" x14ac:dyDescent="0.35">
      <c r="I90" s="2" t="str">
        <f t="shared" si="2"/>
        <v/>
      </c>
    </row>
    <row r="91" spans="9:9" ht="15" customHeight="1" x14ac:dyDescent="0.35">
      <c r="I91" s="2" t="str">
        <f t="shared" si="2"/>
        <v/>
      </c>
    </row>
    <row r="92" spans="9:9" ht="15" customHeight="1" x14ac:dyDescent="0.35">
      <c r="I92" s="2" t="str">
        <f t="shared" si="2"/>
        <v/>
      </c>
    </row>
    <row r="93" spans="9:9" ht="15" customHeight="1" x14ac:dyDescent="0.35">
      <c r="I93" s="2" t="str">
        <f t="shared" si="2"/>
        <v/>
      </c>
    </row>
    <row r="94" spans="9:9" ht="15" customHeight="1" x14ac:dyDescent="0.35">
      <c r="I94" s="2" t="str">
        <f t="shared" si="2"/>
        <v/>
      </c>
    </row>
    <row r="95" spans="9:9" ht="15" customHeight="1" x14ac:dyDescent="0.35">
      <c r="I95" s="2" t="str">
        <f t="shared" si="2"/>
        <v/>
      </c>
    </row>
    <row r="96" spans="9:9" ht="15" customHeight="1" x14ac:dyDescent="0.35">
      <c r="I96" s="2" t="str">
        <f t="shared" si="2"/>
        <v/>
      </c>
    </row>
    <row r="97" spans="9:9" ht="15" customHeight="1" x14ac:dyDescent="0.35">
      <c r="I97" s="2" t="str">
        <f t="shared" si="2"/>
        <v/>
      </c>
    </row>
    <row r="98" spans="9:9" ht="15" customHeight="1" x14ac:dyDescent="0.35">
      <c r="I98" s="2" t="str">
        <f t="shared" si="2"/>
        <v/>
      </c>
    </row>
    <row r="99" spans="9:9" ht="15" customHeight="1" x14ac:dyDescent="0.35">
      <c r="I99" s="2" t="str">
        <f t="shared" si="2"/>
        <v/>
      </c>
    </row>
    <row r="100" spans="9:9" ht="15" customHeight="1" x14ac:dyDescent="0.35">
      <c r="I100" s="2" t="str">
        <f t="shared" ref="I100:I131" si="3">IF($A100="","",IF(OR($A100="",$B100=""),"Missing required field",IF(COUNTIF($A$4:$A$200,$A100)&gt;1,"Duplicate outlet name","OK")))</f>
        <v/>
      </c>
    </row>
    <row r="101" spans="9:9" ht="15" customHeight="1" x14ac:dyDescent="0.35">
      <c r="I101" s="2" t="str">
        <f t="shared" si="3"/>
        <v/>
      </c>
    </row>
    <row r="102" spans="9:9" ht="15" customHeight="1" x14ac:dyDescent="0.35">
      <c r="I102" s="2" t="str">
        <f t="shared" si="3"/>
        <v/>
      </c>
    </row>
    <row r="103" spans="9:9" ht="15" customHeight="1" x14ac:dyDescent="0.35">
      <c r="I103" s="2" t="str">
        <f t="shared" si="3"/>
        <v/>
      </c>
    </row>
    <row r="104" spans="9:9" ht="15" customHeight="1" x14ac:dyDescent="0.35">
      <c r="I104" s="2" t="str">
        <f t="shared" si="3"/>
        <v/>
      </c>
    </row>
    <row r="105" spans="9:9" ht="15" customHeight="1" x14ac:dyDescent="0.35">
      <c r="I105" s="2" t="str">
        <f t="shared" si="3"/>
        <v/>
      </c>
    </row>
    <row r="106" spans="9:9" ht="15" customHeight="1" x14ac:dyDescent="0.35">
      <c r="I106" s="2" t="str">
        <f t="shared" si="3"/>
        <v/>
      </c>
    </row>
    <row r="107" spans="9:9" ht="15" customHeight="1" x14ac:dyDescent="0.35">
      <c r="I107" s="2" t="str">
        <f t="shared" si="3"/>
        <v/>
      </c>
    </row>
    <row r="108" spans="9:9" ht="15" customHeight="1" x14ac:dyDescent="0.35">
      <c r="I108" s="2" t="str">
        <f t="shared" si="3"/>
        <v/>
      </c>
    </row>
    <row r="109" spans="9:9" ht="15" customHeight="1" x14ac:dyDescent="0.35">
      <c r="I109" s="2" t="str">
        <f t="shared" si="3"/>
        <v/>
      </c>
    </row>
    <row r="110" spans="9:9" ht="15" customHeight="1" x14ac:dyDescent="0.35">
      <c r="I110" s="2" t="str">
        <f t="shared" si="3"/>
        <v/>
      </c>
    </row>
    <row r="111" spans="9:9" ht="15" customHeight="1" x14ac:dyDescent="0.35">
      <c r="I111" s="2" t="str">
        <f t="shared" si="3"/>
        <v/>
      </c>
    </row>
    <row r="112" spans="9:9" ht="15" customHeight="1" x14ac:dyDescent="0.35">
      <c r="I112" s="2" t="str">
        <f t="shared" si="3"/>
        <v/>
      </c>
    </row>
    <row r="113" spans="9:9" ht="15" customHeight="1" x14ac:dyDescent="0.35">
      <c r="I113" s="2" t="str">
        <f t="shared" si="3"/>
        <v/>
      </c>
    </row>
    <row r="114" spans="9:9" ht="15" customHeight="1" x14ac:dyDescent="0.35">
      <c r="I114" s="2" t="str">
        <f t="shared" si="3"/>
        <v/>
      </c>
    </row>
    <row r="115" spans="9:9" ht="15" customHeight="1" x14ac:dyDescent="0.35">
      <c r="I115" s="2" t="str">
        <f t="shared" si="3"/>
        <v/>
      </c>
    </row>
    <row r="116" spans="9:9" ht="15" customHeight="1" x14ac:dyDescent="0.35">
      <c r="I116" s="2" t="str">
        <f t="shared" si="3"/>
        <v/>
      </c>
    </row>
    <row r="117" spans="9:9" ht="15" customHeight="1" x14ac:dyDescent="0.35">
      <c r="I117" s="2" t="str">
        <f t="shared" si="3"/>
        <v/>
      </c>
    </row>
    <row r="118" spans="9:9" ht="15" customHeight="1" x14ac:dyDescent="0.35">
      <c r="I118" s="2" t="str">
        <f t="shared" si="3"/>
        <v/>
      </c>
    </row>
    <row r="119" spans="9:9" ht="15" customHeight="1" x14ac:dyDescent="0.35">
      <c r="I119" s="2" t="str">
        <f t="shared" si="3"/>
        <v/>
      </c>
    </row>
    <row r="120" spans="9:9" ht="15" customHeight="1" x14ac:dyDescent="0.35">
      <c r="I120" s="2" t="str">
        <f t="shared" si="3"/>
        <v/>
      </c>
    </row>
    <row r="121" spans="9:9" ht="15" customHeight="1" x14ac:dyDescent="0.35">
      <c r="I121" s="2" t="str">
        <f t="shared" si="3"/>
        <v/>
      </c>
    </row>
    <row r="122" spans="9:9" ht="15" customHeight="1" x14ac:dyDescent="0.35">
      <c r="I122" s="2" t="str">
        <f t="shared" si="3"/>
        <v/>
      </c>
    </row>
    <row r="123" spans="9:9" ht="15" customHeight="1" x14ac:dyDescent="0.35">
      <c r="I123" s="2" t="str">
        <f t="shared" si="3"/>
        <v/>
      </c>
    </row>
    <row r="124" spans="9:9" ht="15" customHeight="1" x14ac:dyDescent="0.35">
      <c r="I124" s="2" t="str">
        <f t="shared" si="3"/>
        <v/>
      </c>
    </row>
    <row r="125" spans="9:9" ht="15" customHeight="1" x14ac:dyDescent="0.35">
      <c r="I125" s="2" t="str">
        <f t="shared" si="3"/>
        <v/>
      </c>
    </row>
    <row r="126" spans="9:9" ht="15" customHeight="1" x14ac:dyDescent="0.35">
      <c r="I126" s="2" t="str">
        <f t="shared" si="3"/>
        <v/>
      </c>
    </row>
    <row r="127" spans="9:9" ht="15" customHeight="1" x14ac:dyDescent="0.35">
      <c r="I127" s="2" t="str">
        <f t="shared" si="3"/>
        <v/>
      </c>
    </row>
    <row r="128" spans="9:9" ht="15" customHeight="1" x14ac:dyDescent="0.35">
      <c r="I128" s="2" t="str">
        <f t="shared" si="3"/>
        <v/>
      </c>
    </row>
    <row r="129" spans="9:9" ht="15" customHeight="1" x14ac:dyDescent="0.35">
      <c r="I129" s="2" t="str">
        <f t="shared" si="3"/>
        <v/>
      </c>
    </row>
    <row r="130" spans="9:9" ht="15" customHeight="1" x14ac:dyDescent="0.35">
      <c r="I130" s="2" t="str">
        <f t="shared" si="3"/>
        <v/>
      </c>
    </row>
    <row r="131" spans="9:9" ht="15" customHeight="1" x14ac:dyDescent="0.35">
      <c r="I131" s="2" t="str">
        <f t="shared" si="3"/>
        <v/>
      </c>
    </row>
    <row r="132" spans="9:9" ht="15" customHeight="1" x14ac:dyDescent="0.35">
      <c r="I132" s="2" t="str">
        <f t="shared" ref="I132:I163" si="4">IF($A132="","",IF(OR($A132="",$B132=""),"Missing required field",IF(COUNTIF($A$4:$A$200,$A132)&gt;1,"Duplicate outlet name","OK")))</f>
        <v/>
      </c>
    </row>
    <row r="133" spans="9:9" ht="15" customHeight="1" x14ac:dyDescent="0.35">
      <c r="I133" s="2" t="str">
        <f t="shared" si="4"/>
        <v/>
      </c>
    </row>
    <row r="134" spans="9:9" ht="15" customHeight="1" x14ac:dyDescent="0.35">
      <c r="I134" s="2" t="str">
        <f t="shared" si="4"/>
        <v/>
      </c>
    </row>
    <row r="135" spans="9:9" ht="15" customHeight="1" x14ac:dyDescent="0.35">
      <c r="I135" s="2" t="str">
        <f t="shared" si="4"/>
        <v/>
      </c>
    </row>
    <row r="136" spans="9:9" ht="15" customHeight="1" x14ac:dyDescent="0.35">
      <c r="I136" s="2" t="str">
        <f t="shared" si="4"/>
        <v/>
      </c>
    </row>
    <row r="137" spans="9:9" ht="15" customHeight="1" x14ac:dyDescent="0.35">
      <c r="I137" s="2" t="str">
        <f t="shared" si="4"/>
        <v/>
      </c>
    </row>
    <row r="138" spans="9:9" ht="15" customHeight="1" x14ac:dyDescent="0.35">
      <c r="I138" s="2" t="str">
        <f t="shared" si="4"/>
        <v/>
      </c>
    </row>
    <row r="139" spans="9:9" ht="15" customHeight="1" x14ac:dyDescent="0.35">
      <c r="I139" s="2" t="str">
        <f t="shared" si="4"/>
        <v/>
      </c>
    </row>
    <row r="140" spans="9:9" ht="15" customHeight="1" x14ac:dyDescent="0.35">
      <c r="I140" s="2" t="str">
        <f t="shared" si="4"/>
        <v/>
      </c>
    </row>
    <row r="141" spans="9:9" ht="15" customHeight="1" x14ac:dyDescent="0.35">
      <c r="I141" s="2" t="str">
        <f t="shared" si="4"/>
        <v/>
      </c>
    </row>
    <row r="142" spans="9:9" ht="15" customHeight="1" x14ac:dyDescent="0.35">
      <c r="I142" s="2" t="str">
        <f t="shared" si="4"/>
        <v/>
      </c>
    </row>
    <row r="143" spans="9:9" ht="15" customHeight="1" x14ac:dyDescent="0.35">
      <c r="I143" s="2" t="str">
        <f t="shared" si="4"/>
        <v/>
      </c>
    </row>
    <row r="144" spans="9:9" ht="15" customHeight="1" x14ac:dyDescent="0.35">
      <c r="I144" s="2" t="str">
        <f t="shared" si="4"/>
        <v/>
      </c>
    </row>
    <row r="145" spans="9:9" ht="15" customHeight="1" x14ac:dyDescent="0.35">
      <c r="I145" s="2" t="str">
        <f t="shared" si="4"/>
        <v/>
      </c>
    </row>
    <row r="146" spans="9:9" ht="15" customHeight="1" x14ac:dyDescent="0.35">
      <c r="I146" s="2" t="str">
        <f t="shared" si="4"/>
        <v/>
      </c>
    </row>
    <row r="147" spans="9:9" ht="15" customHeight="1" x14ac:dyDescent="0.35">
      <c r="I147" s="2" t="str">
        <f t="shared" si="4"/>
        <v/>
      </c>
    </row>
    <row r="148" spans="9:9" ht="15" customHeight="1" x14ac:dyDescent="0.35">
      <c r="I148" s="2" t="str">
        <f t="shared" si="4"/>
        <v/>
      </c>
    </row>
    <row r="149" spans="9:9" ht="15" customHeight="1" x14ac:dyDescent="0.35">
      <c r="I149" s="2" t="str">
        <f t="shared" si="4"/>
        <v/>
      </c>
    </row>
    <row r="150" spans="9:9" ht="15" customHeight="1" x14ac:dyDescent="0.35">
      <c r="I150" s="2" t="str">
        <f t="shared" si="4"/>
        <v/>
      </c>
    </row>
    <row r="151" spans="9:9" ht="15" customHeight="1" x14ac:dyDescent="0.35">
      <c r="I151" s="2" t="str">
        <f t="shared" si="4"/>
        <v/>
      </c>
    </row>
    <row r="152" spans="9:9" ht="15" customHeight="1" x14ac:dyDescent="0.35">
      <c r="I152" s="2" t="str">
        <f t="shared" si="4"/>
        <v/>
      </c>
    </row>
    <row r="153" spans="9:9" ht="15" customHeight="1" x14ac:dyDescent="0.35">
      <c r="I153" s="2" t="str">
        <f t="shared" si="4"/>
        <v/>
      </c>
    </row>
    <row r="154" spans="9:9" ht="15" customHeight="1" x14ac:dyDescent="0.35">
      <c r="I154" s="2" t="str">
        <f t="shared" si="4"/>
        <v/>
      </c>
    </row>
    <row r="155" spans="9:9" ht="15" customHeight="1" x14ac:dyDescent="0.35">
      <c r="I155" s="2" t="str">
        <f t="shared" si="4"/>
        <v/>
      </c>
    </row>
    <row r="156" spans="9:9" ht="15" customHeight="1" x14ac:dyDescent="0.35">
      <c r="I156" s="2" t="str">
        <f t="shared" si="4"/>
        <v/>
      </c>
    </row>
    <row r="157" spans="9:9" ht="15" customHeight="1" x14ac:dyDescent="0.35">
      <c r="I157" s="2" t="str">
        <f t="shared" si="4"/>
        <v/>
      </c>
    </row>
    <row r="158" spans="9:9" ht="15" customHeight="1" x14ac:dyDescent="0.35">
      <c r="I158" s="2" t="str">
        <f t="shared" si="4"/>
        <v/>
      </c>
    </row>
    <row r="159" spans="9:9" ht="15" customHeight="1" x14ac:dyDescent="0.35">
      <c r="I159" s="2" t="str">
        <f t="shared" si="4"/>
        <v/>
      </c>
    </row>
    <row r="160" spans="9:9" ht="15" customHeight="1" x14ac:dyDescent="0.35">
      <c r="I160" s="2" t="str">
        <f t="shared" si="4"/>
        <v/>
      </c>
    </row>
    <row r="161" spans="9:9" ht="15" customHeight="1" x14ac:dyDescent="0.35">
      <c r="I161" s="2" t="str">
        <f t="shared" si="4"/>
        <v/>
      </c>
    </row>
    <row r="162" spans="9:9" ht="15" customHeight="1" x14ac:dyDescent="0.35">
      <c r="I162" s="2" t="str">
        <f t="shared" si="4"/>
        <v/>
      </c>
    </row>
    <row r="163" spans="9:9" ht="15" customHeight="1" x14ac:dyDescent="0.35">
      <c r="I163" s="2" t="str">
        <f t="shared" si="4"/>
        <v/>
      </c>
    </row>
    <row r="164" spans="9:9" ht="15" customHeight="1" x14ac:dyDescent="0.35">
      <c r="I164" s="2" t="str">
        <f t="shared" ref="I164:I200" si="5">IF($A164="","",IF(OR($A164="",$B164=""),"Missing required field",IF(COUNTIF($A$4:$A$200,$A164)&gt;1,"Duplicate outlet name","OK")))</f>
        <v/>
      </c>
    </row>
    <row r="165" spans="9:9" ht="15" customHeight="1" x14ac:dyDescent="0.35">
      <c r="I165" s="2" t="str">
        <f t="shared" si="5"/>
        <v/>
      </c>
    </row>
    <row r="166" spans="9:9" ht="15" customHeight="1" x14ac:dyDescent="0.35">
      <c r="I166" s="2" t="str">
        <f t="shared" si="5"/>
        <v/>
      </c>
    </row>
    <row r="167" spans="9:9" ht="15" customHeight="1" x14ac:dyDescent="0.35">
      <c r="I167" s="2" t="str">
        <f t="shared" si="5"/>
        <v/>
      </c>
    </row>
    <row r="168" spans="9:9" ht="15" customHeight="1" x14ac:dyDescent="0.35">
      <c r="I168" s="2" t="str">
        <f t="shared" si="5"/>
        <v/>
      </c>
    </row>
    <row r="169" spans="9:9" ht="15" customHeight="1" x14ac:dyDescent="0.35">
      <c r="I169" s="2" t="str">
        <f t="shared" si="5"/>
        <v/>
      </c>
    </row>
    <row r="170" spans="9:9" ht="15" customHeight="1" x14ac:dyDescent="0.35">
      <c r="I170" s="2" t="str">
        <f t="shared" si="5"/>
        <v/>
      </c>
    </row>
    <row r="171" spans="9:9" ht="15" customHeight="1" x14ac:dyDescent="0.35">
      <c r="I171" s="2" t="str">
        <f t="shared" si="5"/>
        <v/>
      </c>
    </row>
    <row r="172" spans="9:9" ht="15" customHeight="1" x14ac:dyDescent="0.35">
      <c r="I172" s="2" t="str">
        <f t="shared" si="5"/>
        <v/>
      </c>
    </row>
    <row r="173" spans="9:9" ht="15" customHeight="1" x14ac:dyDescent="0.35">
      <c r="I173" s="2" t="str">
        <f t="shared" si="5"/>
        <v/>
      </c>
    </row>
    <row r="174" spans="9:9" ht="15" customHeight="1" x14ac:dyDescent="0.35">
      <c r="I174" s="2" t="str">
        <f t="shared" si="5"/>
        <v/>
      </c>
    </row>
    <row r="175" spans="9:9" ht="15" customHeight="1" x14ac:dyDescent="0.35">
      <c r="I175" s="2" t="str">
        <f t="shared" si="5"/>
        <v/>
      </c>
    </row>
    <row r="176" spans="9:9" ht="15" customHeight="1" x14ac:dyDescent="0.35">
      <c r="I176" s="2" t="str">
        <f t="shared" si="5"/>
        <v/>
      </c>
    </row>
    <row r="177" spans="9:9" ht="15" customHeight="1" x14ac:dyDescent="0.35">
      <c r="I177" s="2" t="str">
        <f t="shared" si="5"/>
        <v/>
      </c>
    </row>
    <row r="178" spans="9:9" ht="15" customHeight="1" x14ac:dyDescent="0.35">
      <c r="I178" s="2" t="str">
        <f t="shared" si="5"/>
        <v/>
      </c>
    </row>
    <row r="179" spans="9:9" ht="15" customHeight="1" x14ac:dyDescent="0.35">
      <c r="I179" s="2" t="str">
        <f t="shared" si="5"/>
        <v/>
      </c>
    </row>
    <row r="180" spans="9:9" ht="15" customHeight="1" x14ac:dyDescent="0.35">
      <c r="I180" s="2" t="str">
        <f t="shared" si="5"/>
        <v/>
      </c>
    </row>
    <row r="181" spans="9:9" ht="15" customHeight="1" x14ac:dyDescent="0.35">
      <c r="I181" s="2" t="str">
        <f t="shared" si="5"/>
        <v/>
      </c>
    </row>
    <row r="182" spans="9:9" ht="15" customHeight="1" x14ac:dyDescent="0.35">
      <c r="I182" s="2" t="str">
        <f t="shared" si="5"/>
        <v/>
      </c>
    </row>
    <row r="183" spans="9:9" ht="15" customHeight="1" x14ac:dyDescent="0.35">
      <c r="I183" s="2" t="str">
        <f t="shared" si="5"/>
        <v/>
      </c>
    </row>
    <row r="184" spans="9:9" ht="15" customHeight="1" x14ac:dyDescent="0.35">
      <c r="I184" s="2" t="str">
        <f t="shared" si="5"/>
        <v/>
      </c>
    </row>
    <row r="185" spans="9:9" ht="15" customHeight="1" x14ac:dyDescent="0.35">
      <c r="I185" s="2" t="str">
        <f t="shared" si="5"/>
        <v/>
      </c>
    </row>
    <row r="186" spans="9:9" ht="15" customHeight="1" x14ac:dyDescent="0.35">
      <c r="I186" s="2" t="str">
        <f t="shared" si="5"/>
        <v/>
      </c>
    </row>
    <row r="187" spans="9:9" ht="15" customHeight="1" x14ac:dyDescent="0.35">
      <c r="I187" s="2" t="str">
        <f t="shared" si="5"/>
        <v/>
      </c>
    </row>
    <row r="188" spans="9:9" ht="15" customHeight="1" x14ac:dyDescent="0.35">
      <c r="I188" s="2" t="str">
        <f t="shared" si="5"/>
        <v/>
      </c>
    </row>
    <row r="189" spans="9:9" ht="15" customHeight="1" x14ac:dyDescent="0.35">
      <c r="I189" s="2" t="str">
        <f t="shared" si="5"/>
        <v/>
      </c>
    </row>
    <row r="190" spans="9:9" ht="15" customHeight="1" x14ac:dyDescent="0.35">
      <c r="I190" s="2" t="str">
        <f t="shared" si="5"/>
        <v/>
      </c>
    </row>
    <row r="191" spans="9:9" ht="15" customHeight="1" x14ac:dyDescent="0.35">
      <c r="I191" s="2" t="str">
        <f t="shared" si="5"/>
        <v/>
      </c>
    </row>
    <row r="192" spans="9:9" ht="15" customHeight="1" x14ac:dyDescent="0.35">
      <c r="I192" s="2" t="str">
        <f t="shared" si="5"/>
        <v/>
      </c>
    </row>
    <row r="193" spans="9:9" ht="15" customHeight="1" x14ac:dyDescent="0.35">
      <c r="I193" s="2" t="str">
        <f t="shared" si="5"/>
        <v/>
      </c>
    </row>
    <row r="194" spans="9:9" ht="15" customHeight="1" x14ac:dyDescent="0.35">
      <c r="I194" s="2" t="str">
        <f t="shared" si="5"/>
        <v/>
      </c>
    </row>
    <row r="195" spans="9:9" ht="15" customHeight="1" x14ac:dyDescent="0.35">
      <c r="I195" s="2" t="str">
        <f t="shared" si="5"/>
        <v/>
      </c>
    </row>
    <row r="196" spans="9:9" ht="15" customHeight="1" x14ac:dyDescent="0.35">
      <c r="I196" s="2" t="str">
        <f t="shared" si="5"/>
        <v/>
      </c>
    </row>
    <row r="197" spans="9:9" ht="15" customHeight="1" x14ac:dyDescent="0.35">
      <c r="I197" s="2" t="str">
        <f t="shared" si="5"/>
        <v/>
      </c>
    </row>
    <row r="198" spans="9:9" ht="15" customHeight="1" x14ac:dyDescent="0.35">
      <c r="I198" s="2" t="str">
        <f t="shared" si="5"/>
        <v/>
      </c>
    </row>
    <row r="199" spans="9:9" ht="15" customHeight="1" x14ac:dyDescent="0.35">
      <c r="I199" s="2" t="str">
        <f t="shared" si="5"/>
        <v/>
      </c>
    </row>
    <row r="200" spans="9:9" ht="15" customHeight="1" x14ac:dyDescent="0.35">
      <c r="I200" s="2" t="str">
        <f t="shared" si="5"/>
        <v/>
      </c>
    </row>
  </sheetData>
  <mergeCells count="2">
    <mergeCell ref="A1:G1"/>
    <mergeCell ref="A2:G2"/>
  </mergeCells>
  <conditionalFormatting sqref="I4:I200">
    <cfRule type="expression" dxfId="13" priority="2">
      <formula>AND(I4&lt;&gt;"",I4&lt;&gt;"OK")</formula>
    </cfRule>
    <cfRule type="expression" dxfId="12" priority="3">
      <formula>I4="OK"</formula>
    </cfRule>
  </conditionalFormatting>
  <dataValidations count="1">
    <dataValidation type="list" allowBlank="1" sqref="B4:B200" xr:uid="{00000000-0002-0000-0500-000000000000}">
      <formula1>RegionsList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9"/>
  <sheetViews>
    <sheetView showGridLines="0" workbookViewId="0">
      <selection activeCell="E4" sqref="E4"/>
    </sheetView>
  </sheetViews>
  <sheetFormatPr defaultColWidth="8.54296875" defaultRowHeight="14.5" x14ac:dyDescent="0.35"/>
  <cols>
    <col min="1" max="1" width="29.54296875" style="1" customWidth="1"/>
    <col min="2" max="2" width="30.26953125" style="1" customWidth="1"/>
    <col min="3" max="3" width="21.26953125" style="1" customWidth="1"/>
    <col min="4" max="4" width="18.26953125" style="1" customWidth="1"/>
    <col min="5" max="5" width="30" style="1" customWidth="1"/>
    <col min="6" max="6" width="20" style="1" customWidth="1"/>
    <col min="7" max="7" width="32" style="1" customWidth="1"/>
  </cols>
  <sheetData>
    <row r="1" spans="1:7" s="17" customFormat="1" ht="21.75" customHeight="1" x14ac:dyDescent="0.4">
      <c r="A1" s="68" t="s">
        <v>25</v>
      </c>
      <c r="B1" s="68"/>
      <c r="C1" s="68"/>
      <c r="D1" s="68"/>
      <c r="E1" s="68"/>
      <c r="F1" s="16"/>
      <c r="G1" s="16"/>
    </row>
    <row r="2" spans="1:7" ht="15.75" customHeight="1" x14ac:dyDescent="0.35">
      <c r="A2" s="69" t="s">
        <v>125</v>
      </c>
      <c r="B2" s="69"/>
      <c r="C2" s="69"/>
      <c r="D2" s="69"/>
      <c r="E2" s="69"/>
    </row>
    <row r="3" spans="1:7" s="19" customFormat="1" ht="30" customHeight="1" x14ac:dyDescent="0.35">
      <c r="A3" s="42" t="s">
        <v>126</v>
      </c>
      <c r="B3" s="42" t="s">
        <v>127</v>
      </c>
      <c r="C3" s="42" t="s">
        <v>128</v>
      </c>
      <c r="D3" s="42" t="s">
        <v>129</v>
      </c>
      <c r="E3" s="42" t="s">
        <v>48</v>
      </c>
      <c r="F3" s="49" t="s">
        <v>89</v>
      </c>
      <c r="G3" s="49" t="s">
        <v>50</v>
      </c>
    </row>
    <row r="4" spans="1:7" ht="15" customHeight="1" x14ac:dyDescent="0.35">
      <c r="A4" s="39" t="s">
        <v>455</v>
      </c>
      <c r="B4" s="39" t="s">
        <v>130</v>
      </c>
      <c r="C4" s="39" t="s">
        <v>456</v>
      </c>
      <c r="D4" s="39" t="s">
        <v>457</v>
      </c>
      <c r="E4" s="39" t="s">
        <v>131</v>
      </c>
      <c r="F4" s="35" t="s">
        <v>63</v>
      </c>
      <c r="G4" s="35" t="str">
        <f t="shared" ref="G4:G35" si="0">IF($A4="","",IF(OR($A4="",$B4="",$F4=""),"Missing required field",IF(AND($C4&lt;&gt;"",COUNTIF($C$4:$C$199,$C4)&gt;1),"Duplicate SKU",IF(COUNTIF($A$4:$A$199,$A4)&gt;1,"Duplicate product name","OK"))))</f>
        <v>OK</v>
      </c>
    </row>
    <row r="5" spans="1:7" ht="15" customHeight="1" x14ac:dyDescent="0.35">
      <c r="A5" s="30" t="s">
        <v>66</v>
      </c>
      <c r="B5" s="30" t="s">
        <v>384</v>
      </c>
      <c r="C5" s="30"/>
      <c r="D5" s="30" t="s">
        <v>390</v>
      </c>
      <c r="E5" s="30"/>
      <c r="F5" s="48" t="s">
        <v>393</v>
      </c>
      <c r="G5" s="30" t="str">
        <f t="shared" si="0"/>
        <v>OK</v>
      </c>
    </row>
    <row r="6" spans="1:7" ht="15" customHeight="1" x14ac:dyDescent="0.35">
      <c r="A6" s="30" t="s">
        <v>69</v>
      </c>
      <c r="B6" s="30" t="s">
        <v>385</v>
      </c>
      <c r="C6" s="30"/>
      <c r="D6" s="30" t="s">
        <v>390</v>
      </c>
      <c r="E6" s="30"/>
      <c r="F6" s="48" t="s">
        <v>69</v>
      </c>
      <c r="G6" s="30" t="str">
        <f t="shared" si="0"/>
        <v>OK</v>
      </c>
    </row>
    <row r="7" spans="1:7" ht="22.5" customHeight="1" x14ac:dyDescent="0.35">
      <c r="A7" s="30" t="s">
        <v>58</v>
      </c>
      <c r="B7" s="30" t="s">
        <v>386</v>
      </c>
      <c r="C7" s="30"/>
      <c r="D7" s="30" t="s">
        <v>390</v>
      </c>
      <c r="E7" s="30"/>
      <c r="F7" s="48" t="s">
        <v>58</v>
      </c>
      <c r="G7" s="30" t="str">
        <f t="shared" si="0"/>
        <v>OK</v>
      </c>
    </row>
    <row r="8" spans="1:7" ht="15" customHeight="1" x14ac:dyDescent="0.35">
      <c r="A8" s="30" t="s">
        <v>74</v>
      </c>
      <c r="B8" s="30" t="s">
        <v>387</v>
      </c>
      <c r="C8" s="30"/>
      <c r="D8" s="30" t="s">
        <v>390</v>
      </c>
      <c r="E8" s="30"/>
      <c r="F8" s="48" t="s">
        <v>74</v>
      </c>
      <c r="G8" s="30" t="str">
        <f t="shared" si="0"/>
        <v>OK</v>
      </c>
    </row>
    <row r="9" spans="1:7" ht="15" customHeight="1" x14ac:dyDescent="0.35">
      <c r="A9" s="30" t="s">
        <v>77</v>
      </c>
      <c r="B9" s="30" t="s">
        <v>388</v>
      </c>
      <c r="C9" s="30"/>
      <c r="D9" s="30" t="s">
        <v>390</v>
      </c>
      <c r="E9" s="30"/>
      <c r="F9" s="48" t="s">
        <v>388</v>
      </c>
      <c r="G9" s="30" t="str">
        <f t="shared" si="0"/>
        <v>OK</v>
      </c>
    </row>
    <row r="10" spans="1:7" ht="15" customHeight="1" x14ac:dyDescent="0.35">
      <c r="A10" s="30" t="s">
        <v>80</v>
      </c>
      <c r="B10" s="30" t="s">
        <v>389</v>
      </c>
      <c r="C10" s="30"/>
      <c r="D10" s="30" t="s">
        <v>391</v>
      </c>
      <c r="E10" s="30"/>
      <c r="F10" s="48" t="s">
        <v>394</v>
      </c>
      <c r="G10" s="30" t="str">
        <f t="shared" si="0"/>
        <v>OK</v>
      </c>
    </row>
    <row r="11" spans="1:7" ht="15" customHeight="1" x14ac:dyDescent="0.35">
      <c r="A11" s="30" t="s">
        <v>83</v>
      </c>
      <c r="B11" s="30" t="s">
        <v>83</v>
      </c>
      <c r="C11" s="30"/>
      <c r="D11" s="30" t="s">
        <v>392</v>
      </c>
      <c r="E11" s="30"/>
      <c r="F11" s="48" t="s">
        <v>83</v>
      </c>
      <c r="G11" s="30" t="str">
        <f t="shared" si="0"/>
        <v>OK</v>
      </c>
    </row>
    <row r="12" spans="1:7" ht="15" customHeight="1" x14ac:dyDescent="0.35">
      <c r="A12" s="30"/>
      <c r="B12" s="30"/>
      <c r="C12" s="30"/>
      <c r="D12" s="30"/>
      <c r="E12" s="30"/>
      <c r="F12" s="48"/>
      <c r="G12" s="30" t="str">
        <f t="shared" si="0"/>
        <v/>
      </c>
    </row>
    <row r="13" spans="1:7" ht="15" customHeight="1" x14ac:dyDescent="0.35">
      <c r="A13" s="30"/>
      <c r="B13" s="30"/>
      <c r="C13" s="30"/>
      <c r="D13" s="30"/>
      <c r="E13" s="30"/>
      <c r="F13" s="48"/>
      <c r="G13" s="30" t="str">
        <f t="shared" si="0"/>
        <v/>
      </c>
    </row>
    <row r="14" spans="1:7" ht="15" customHeight="1" x14ac:dyDescent="0.35">
      <c r="A14" s="30"/>
      <c r="B14" s="30"/>
      <c r="C14" s="30"/>
      <c r="D14" s="30"/>
      <c r="E14" s="30"/>
      <c r="F14" s="48"/>
      <c r="G14" s="30" t="str">
        <f t="shared" si="0"/>
        <v/>
      </c>
    </row>
    <row r="15" spans="1:7" ht="15" customHeight="1" x14ac:dyDescent="0.35">
      <c r="A15" s="30"/>
      <c r="B15" s="30"/>
      <c r="C15" s="30"/>
      <c r="D15" s="30"/>
      <c r="E15" s="30"/>
      <c r="F15" s="48"/>
      <c r="G15" s="30" t="str">
        <f t="shared" si="0"/>
        <v/>
      </c>
    </row>
    <row r="16" spans="1:7" ht="15" customHeight="1" x14ac:dyDescent="0.35">
      <c r="A16" s="30"/>
      <c r="B16" s="30"/>
      <c r="C16" s="30"/>
      <c r="D16" s="30"/>
      <c r="E16" s="30"/>
      <c r="F16" s="48"/>
      <c r="G16" s="30" t="str">
        <f t="shared" si="0"/>
        <v/>
      </c>
    </row>
    <row r="17" spans="1:7" ht="15" customHeight="1" x14ac:dyDescent="0.35">
      <c r="A17" s="30"/>
      <c r="B17" s="30"/>
      <c r="C17" s="30"/>
      <c r="D17" s="30"/>
      <c r="E17" s="30"/>
      <c r="F17" s="48"/>
      <c r="G17" s="30" t="str">
        <f t="shared" si="0"/>
        <v/>
      </c>
    </row>
    <row r="18" spans="1:7" ht="15" customHeight="1" x14ac:dyDescent="0.35">
      <c r="A18" s="30"/>
      <c r="B18" s="30"/>
      <c r="C18" s="30"/>
      <c r="D18" s="30"/>
      <c r="E18" s="30"/>
      <c r="F18" s="48"/>
      <c r="G18" s="30" t="str">
        <f t="shared" si="0"/>
        <v/>
      </c>
    </row>
    <row r="19" spans="1:7" ht="15" customHeight="1" x14ac:dyDescent="0.35">
      <c r="A19" s="30"/>
      <c r="B19" s="30"/>
      <c r="C19" s="30"/>
      <c r="D19" s="30"/>
      <c r="E19" s="30"/>
      <c r="F19" s="48"/>
      <c r="G19" s="30" t="str">
        <f t="shared" si="0"/>
        <v/>
      </c>
    </row>
    <row r="20" spans="1:7" ht="15" customHeight="1" x14ac:dyDescent="0.35">
      <c r="A20" s="30"/>
      <c r="B20" s="30"/>
      <c r="C20" s="30"/>
      <c r="D20" s="30"/>
      <c r="E20" s="30"/>
      <c r="F20" s="48"/>
      <c r="G20" s="30" t="str">
        <f t="shared" si="0"/>
        <v/>
      </c>
    </row>
    <row r="21" spans="1:7" ht="15" customHeight="1" x14ac:dyDescent="0.35">
      <c r="A21" s="30"/>
      <c r="B21" s="30"/>
      <c r="C21" s="30"/>
      <c r="D21" s="30"/>
      <c r="E21" s="30"/>
      <c r="F21" s="48"/>
      <c r="G21" s="30" t="str">
        <f t="shared" si="0"/>
        <v/>
      </c>
    </row>
    <row r="22" spans="1:7" ht="15" customHeight="1" x14ac:dyDescent="0.35">
      <c r="A22" s="30"/>
      <c r="B22" s="30"/>
      <c r="C22" s="30"/>
      <c r="D22" s="30"/>
      <c r="E22" s="30"/>
      <c r="F22" s="48"/>
      <c r="G22" s="30" t="str">
        <f t="shared" si="0"/>
        <v/>
      </c>
    </row>
    <row r="23" spans="1:7" ht="15" customHeight="1" x14ac:dyDescent="0.35">
      <c r="A23" s="30"/>
      <c r="B23" s="30"/>
      <c r="C23" s="30"/>
      <c r="D23" s="30"/>
      <c r="E23" s="30"/>
      <c r="F23" s="48"/>
      <c r="G23" s="30" t="str">
        <f t="shared" si="0"/>
        <v/>
      </c>
    </row>
    <row r="24" spans="1:7" ht="15" customHeight="1" x14ac:dyDescent="0.35">
      <c r="A24" s="36"/>
      <c r="B24" s="36"/>
      <c r="C24" s="36"/>
      <c r="D24" s="36"/>
      <c r="E24" s="36"/>
      <c r="F24" s="50"/>
      <c r="G24" s="51" t="str">
        <f t="shared" si="0"/>
        <v/>
      </c>
    </row>
    <row r="25" spans="1:7" ht="15" customHeight="1" x14ac:dyDescent="0.35">
      <c r="A25" s="5"/>
      <c r="B25" s="5"/>
      <c r="C25" s="5"/>
      <c r="D25" s="5"/>
      <c r="E25" s="5"/>
      <c r="G25" s="2" t="str">
        <f t="shared" si="0"/>
        <v/>
      </c>
    </row>
    <row r="26" spans="1:7" ht="15" customHeight="1" x14ac:dyDescent="0.35">
      <c r="A26" s="5"/>
      <c r="B26" s="5"/>
      <c r="C26" s="5"/>
      <c r="D26" s="5"/>
      <c r="E26" s="5"/>
      <c r="G26" s="2" t="str">
        <f t="shared" si="0"/>
        <v/>
      </c>
    </row>
    <row r="27" spans="1:7" ht="15" customHeight="1" x14ac:dyDescent="0.35">
      <c r="A27" s="5"/>
      <c r="B27" s="5"/>
      <c r="C27" s="5"/>
      <c r="D27" s="5"/>
      <c r="E27" s="5"/>
      <c r="G27" s="2" t="str">
        <f t="shared" si="0"/>
        <v/>
      </c>
    </row>
    <row r="28" spans="1:7" ht="15" customHeight="1" x14ac:dyDescent="0.35">
      <c r="A28" s="5"/>
      <c r="B28" s="5"/>
      <c r="C28" s="5"/>
      <c r="D28" s="5"/>
      <c r="E28" s="5"/>
      <c r="G28" s="2" t="str">
        <f t="shared" si="0"/>
        <v/>
      </c>
    </row>
    <row r="29" spans="1:7" ht="15" customHeight="1" x14ac:dyDescent="0.35">
      <c r="G29" s="2" t="str">
        <f t="shared" si="0"/>
        <v/>
      </c>
    </row>
    <row r="30" spans="1:7" ht="15" customHeight="1" x14ac:dyDescent="0.35">
      <c r="G30" s="2" t="str">
        <f t="shared" si="0"/>
        <v/>
      </c>
    </row>
    <row r="31" spans="1:7" ht="15" customHeight="1" x14ac:dyDescent="0.35">
      <c r="G31" s="2" t="str">
        <f t="shared" si="0"/>
        <v/>
      </c>
    </row>
    <row r="32" spans="1:7" ht="15" customHeight="1" x14ac:dyDescent="0.35">
      <c r="G32" s="2" t="str">
        <f t="shared" si="0"/>
        <v/>
      </c>
    </row>
    <row r="33" spans="7:7" ht="15" customHeight="1" x14ac:dyDescent="0.35">
      <c r="G33" s="2" t="str">
        <f t="shared" si="0"/>
        <v/>
      </c>
    </row>
    <row r="34" spans="7:7" ht="15" customHeight="1" x14ac:dyDescent="0.35">
      <c r="G34" s="2" t="str">
        <f t="shared" si="0"/>
        <v/>
      </c>
    </row>
    <row r="35" spans="7:7" ht="15" customHeight="1" x14ac:dyDescent="0.35">
      <c r="G35" s="2" t="str">
        <f t="shared" si="0"/>
        <v/>
      </c>
    </row>
    <row r="36" spans="7:7" ht="15" customHeight="1" x14ac:dyDescent="0.35">
      <c r="G36" s="2" t="str">
        <f t="shared" ref="G36:G67" si="1">IF($A36="","",IF(OR($A36="",$B36="",$F36=""),"Missing required field",IF(AND($C36&lt;&gt;"",COUNTIF($C$4:$C$199,$C36)&gt;1),"Duplicate SKU",IF(COUNTIF($A$4:$A$199,$A36)&gt;1,"Duplicate product name","OK"))))</f>
        <v/>
      </c>
    </row>
    <row r="37" spans="7:7" ht="15" customHeight="1" x14ac:dyDescent="0.35">
      <c r="G37" s="2" t="str">
        <f t="shared" si="1"/>
        <v/>
      </c>
    </row>
    <row r="38" spans="7:7" ht="15" customHeight="1" x14ac:dyDescent="0.35">
      <c r="G38" s="2" t="str">
        <f t="shared" si="1"/>
        <v/>
      </c>
    </row>
    <row r="39" spans="7:7" ht="15" customHeight="1" x14ac:dyDescent="0.35">
      <c r="G39" s="2" t="str">
        <f t="shared" si="1"/>
        <v/>
      </c>
    </row>
    <row r="40" spans="7:7" ht="15" customHeight="1" x14ac:dyDescent="0.35">
      <c r="G40" s="2" t="str">
        <f t="shared" si="1"/>
        <v/>
      </c>
    </row>
    <row r="41" spans="7:7" ht="15" customHeight="1" x14ac:dyDescent="0.35">
      <c r="G41" s="2" t="str">
        <f t="shared" si="1"/>
        <v/>
      </c>
    </row>
    <row r="42" spans="7:7" ht="15" customHeight="1" x14ac:dyDescent="0.35">
      <c r="G42" s="2" t="str">
        <f t="shared" si="1"/>
        <v/>
      </c>
    </row>
    <row r="43" spans="7:7" ht="15" customHeight="1" x14ac:dyDescent="0.35">
      <c r="G43" s="2" t="str">
        <f t="shared" si="1"/>
        <v/>
      </c>
    </row>
    <row r="44" spans="7:7" ht="15" customHeight="1" x14ac:dyDescent="0.35">
      <c r="G44" s="2" t="str">
        <f t="shared" si="1"/>
        <v/>
      </c>
    </row>
    <row r="45" spans="7:7" ht="15" customHeight="1" x14ac:dyDescent="0.35">
      <c r="G45" s="2" t="str">
        <f t="shared" si="1"/>
        <v/>
      </c>
    </row>
    <row r="46" spans="7:7" ht="15" customHeight="1" x14ac:dyDescent="0.35">
      <c r="G46" s="2" t="str">
        <f t="shared" si="1"/>
        <v/>
      </c>
    </row>
    <row r="47" spans="7:7" ht="15" customHeight="1" x14ac:dyDescent="0.35">
      <c r="G47" s="2" t="str">
        <f t="shared" si="1"/>
        <v/>
      </c>
    </row>
    <row r="48" spans="7:7" ht="15" customHeight="1" x14ac:dyDescent="0.35">
      <c r="G48" s="2" t="str">
        <f t="shared" si="1"/>
        <v/>
      </c>
    </row>
    <row r="49" spans="7:7" ht="15" customHeight="1" x14ac:dyDescent="0.35">
      <c r="G49" s="2" t="str">
        <f t="shared" si="1"/>
        <v/>
      </c>
    </row>
    <row r="50" spans="7:7" ht="15" customHeight="1" x14ac:dyDescent="0.35">
      <c r="G50" s="2" t="str">
        <f t="shared" si="1"/>
        <v/>
      </c>
    </row>
    <row r="51" spans="7:7" ht="15" customHeight="1" x14ac:dyDescent="0.35">
      <c r="G51" s="2" t="str">
        <f t="shared" si="1"/>
        <v/>
      </c>
    </row>
    <row r="52" spans="7:7" ht="15" customHeight="1" x14ac:dyDescent="0.35">
      <c r="G52" s="2" t="str">
        <f t="shared" si="1"/>
        <v/>
      </c>
    </row>
    <row r="53" spans="7:7" ht="15" customHeight="1" x14ac:dyDescent="0.35">
      <c r="G53" s="2" t="str">
        <f t="shared" si="1"/>
        <v/>
      </c>
    </row>
    <row r="54" spans="7:7" ht="15" customHeight="1" x14ac:dyDescent="0.35">
      <c r="G54" s="2" t="str">
        <f t="shared" si="1"/>
        <v/>
      </c>
    </row>
    <row r="55" spans="7:7" ht="15" customHeight="1" x14ac:dyDescent="0.35">
      <c r="G55" s="2" t="str">
        <f t="shared" si="1"/>
        <v/>
      </c>
    </row>
    <row r="56" spans="7:7" ht="15" customHeight="1" x14ac:dyDescent="0.35">
      <c r="G56" s="2" t="str">
        <f t="shared" si="1"/>
        <v/>
      </c>
    </row>
    <row r="57" spans="7:7" ht="15" customHeight="1" x14ac:dyDescent="0.35">
      <c r="G57" s="2" t="str">
        <f t="shared" si="1"/>
        <v/>
      </c>
    </row>
    <row r="58" spans="7:7" ht="15" customHeight="1" x14ac:dyDescent="0.35">
      <c r="G58" s="2" t="str">
        <f t="shared" si="1"/>
        <v/>
      </c>
    </row>
    <row r="59" spans="7:7" ht="15" customHeight="1" x14ac:dyDescent="0.35">
      <c r="G59" s="2" t="str">
        <f t="shared" si="1"/>
        <v/>
      </c>
    </row>
    <row r="60" spans="7:7" ht="15" customHeight="1" x14ac:dyDescent="0.35">
      <c r="G60" s="2" t="str">
        <f t="shared" si="1"/>
        <v/>
      </c>
    </row>
    <row r="61" spans="7:7" ht="15" customHeight="1" x14ac:dyDescent="0.35">
      <c r="G61" s="2" t="str">
        <f t="shared" si="1"/>
        <v/>
      </c>
    </row>
    <row r="62" spans="7:7" ht="15" customHeight="1" x14ac:dyDescent="0.35">
      <c r="G62" s="2" t="str">
        <f t="shared" si="1"/>
        <v/>
      </c>
    </row>
    <row r="63" spans="7:7" ht="15" customHeight="1" x14ac:dyDescent="0.35">
      <c r="G63" s="2" t="str">
        <f t="shared" si="1"/>
        <v/>
      </c>
    </row>
    <row r="64" spans="7:7" ht="15" customHeight="1" x14ac:dyDescent="0.35">
      <c r="G64" s="2" t="str">
        <f t="shared" si="1"/>
        <v/>
      </c>
    </row>
    <row r="65" spans="7:7" ht="15" customHeight="1" x14ac:dyDescent="0.35">
      <c r="G65" s="2" t="str">
        <f t="shared" si="1"/>
        <v/>
      </c>
    </row>
    <row r="66" spans="7:7" ht="15" customHeight="1" x14ac:dyDescent="0.35">
      <c r="G66" s="2" t="str">
        <f t="shared" si="1"/>
        <v/>
      </c>
    </row>
    <row r="67" spans="7:7" ht="15" customHeight="1" x14ac:dyDescent="0.35">
      <c r="G67" s="2" t="str">
        <f t="shared" si="1"/>
        <v/>
      </c>
    </row>
    <row r="68" spans="7:7" ht="15" customHeight="1" x14ac:dyDescent="0.35">
      <c r="G68" s="2" t="str">
        <f t="shared" ref="G68:G99" si="2">IF($A68="","",IF(OR($A68="",$B68="",$F68=""),"Missing required field",IF(AND($C68&lt;&gt;"",COUNTIF($C$4:$C$199,$C68)&gt;1),"Duplicate SKU",IF(COUNTIF($A$4:$A$199,$A68)&gt;1,"Duplicate product name","OK"))))</f>
        <v/>
      </c>
    </row>
    <row r="69" spans="7:7" ht="15" customHeight="1" x14ac:dyDescent="0.35">
      <c r="G69" s="2" t="str">
        <f t="shared" si="2"/>
        <v/>
      </c>
    </row>
    <row r="70" spans="7:7" ht="15" customHeight="1" x14ac:dyDescent="0.35">
      <c r="G70" s="2" t="str">
        <f t="shared" si="2"/>
        <v/>
      </c>
    </row>
    <row r="71" spans="7:7" ht="15" customHeight="1" x14ac:dyDescent="0.35">
      <c r="G71" s="2" t="str">
        <f t="shared" si="2"/>
        <v/>
      </c>
    </row>
    <row r="72" spans="7:7" ht="15" customHeight="1" x14ac:dyDescent="0.35">
      <c r="G72" s="2" t="str">
        <f t="shared" si="2"/>
        <v/>
      </c>
    </row>
    <row r="73" spans="7:7" ht="15" customHeight="1" x14ac:dyDescent="0.35">
      <c r="G73" s="2" t="str">
        <f t="shared" si="2"/>
        <v/>
      </c>
    </row>
    <row r="74" spans="7:7" ht="15" customHeight="1" x14ac:dyDescent="0.35">
      <c r="G74" s="2" t="str">
        <f t="shared" si="2"/>
        <v/>
      </c>
    </row>
    <row r="75" spans="7:7" ht="15" customHeight="1" x14ac:dyDescent="0.35">
      <c r="G75" s="2" t="str">
        <f t="shared" si="2"/>
        <v/>
      </c>
    </row>
    <row r="76" spans="7:7" ht="15" customHeight="1" x14ac:dyDescent="0.35">
      <c r="G76" s="2" t="str">
        <f t="shared" si="2"/>
        <v/>
      </c>
    </row>
    <row r="77" spans="7:7" ht="15" customHeight="1" x14ac:dyDescent="0.35">
      <c r="G77" s="2" t="str">
        <f t="shared" si="2"/>
        <v/>
      </c>
    </row>
    <row r="78" spans="7:7" ht="15" customHeight="1" x14ac:dyDescent="0.35">
      <c r="G78" s="2" t="str">
        <f t="shared" si="2"/>
        <v/>
      </c>
    </row>
    <row r="79" spans="7:7" ht="15" customHeight="1" x14ac:dyDescent="0.35">
      <c r="G79" s="2" t="str">
        <f t="shared" si="2"/>
        <v/>
      </c>
    </row>
    <row r="80" spans="7:7" ht="15" customHeight="1" x14ac:dyDescent="0.35">
      <c r="G80" s="2" t="str">
        <f t="shared" si="2"/>
        <v/>
      </c>
    </row>
    <row r="81" spans="7:7" ht="15" customHeight="1" x14ac:dyDescent="0.35">
      <c r="G81" s="2" t="str">
        <f t="shared" si="2"/>
        <v/>
      </c>
    </row>
    <row r="82" spans="7:7" ht="15" customHeight="1" x14ac:dyDescent="0.35">
      <c r="G82" s="2" t="str">
        <f t="shared" si="2"/>
        <v/>
      </c>
    </row>
    <row r="83" spans="7:7" ht="15" customHeight="1" x14ac:dyDescent="0.35">
      <c r="G83" s="2" t="str">
        <f t="shared" si="2"/>
        <v/>
      </c>
    </row>
    <row r="84" spans="7:7" ht="15" customHeight="1" x14ac:dyDescent="0.35">
      <c r="G84" s="2" t="str">
        <f t="shared" si="2"/>
        <v/>
      </c>
    </row>
    <row r="85" spans="7:7" ht="15" customHeight="1" x14ac:dyDescent="0.35">
      <c r="G85" s="2" t="str">
        <f t="shared" si="2"/>
        <v/>
      </c>
    </row>
    <row r="86" spans="7:7" ht="15" customHeight="1" x14ac:dyDescent="0.35">
      <c r="G86" s="2" t="str">
        <f t="shared" si="2"/>
        <v/>
      </c>
    </row>
    <row r="87" spans="7:7" ht="15" customHeight="1" x14ac:dyDescent="0.35">
      <c r="G87" s="2" t="str">
        <f t="shared" si="2"/>
        <v/>
      </c>
    </row>
    <row r="88" spans="7:7" ht="15" customHeight="1" x14ac:dyDescent="0.35">
      <c r="G88" s="2" t="str">
        <f t="shared" si="2"/>
        <v/>
      </c>
    </row>
    <row r="89" spans="7:7" ht="15" customHeight="1" x14ac:dyDescent="0.35">
      <c r="G89" s="2" t="str">
        <f t="shared" si="2"/>
        <v/>
      </c>
    </row>
    <row r="90" spans="7:7" ht="15" customHeight="1" x14ac:dyDescent="0.35">
      <c r="G90" s="2" t="str">
        <f t="shared" si="2"/>
        <v/>
      </c>
    </row>
    <row r="91" spans="7:7" ht="15" customHeight="1" x14ac:dyDescent="0.35">
      <c r="G91" s="2" t="str">
        <f t="shared" si="2"/>
        <v/>
      </c>
    </row>
    <row r="92" spans="7:7" ht="15" customHeight="1" x14ac:dyDescent="0.35">
      <c r="G92" s="2" t="str">
        <f t="shared" si="2"/>
        <v/>
      </c>
    </row>
    <row r="93" spans="7:7" ht="15" customHeight="1" x14ac:dyDescent="0.35">
      <c r="G93" s="2" t="str">
        <f t="shared" si="2"/>
        <v/>
      </c>
    </row>
    <row r="94" spans="7:7" ht="15" customHeight="1" x14ac:dyDescent="0.35">
      <c r="G94" s="2" t="str">
        <f t="shared" si="2"/>
        <v/>
      </c>
    </row>
    <row r="95" spans="7:7" ht="15" customHeight="1" x14ac:dyDescent="0.35">
      <c r="G95" s="2" t="str">
        <f t="shared" si="2"/>
        <v/>
      </c>
    </row>
    <row r="96" spans="7:7" ht="15" customHeight="1" x14ac:dyDescent="0.35">
      <c r="G96" s="2" t="str">
        <f t="shared" si="2"/>
        <v/>
      </c>
    </row>
    <row r="97" spans="7:7" ht="15" customHeight="1" x14ac:dyDescent="0.35">
      <c r="G97" s="2" t="str">
        <f t="shared" si="2"/>
        <v/>
      </c>
    </row>
    <row r="98" spans="7:7" ht="15" customHeight="1" x14ac:dyDescent="0.35">
      <c r="G98" s="2" t="str">
        <f t="shared" si="2"/>
        <v/>
      </c>
    </row>
    <row r="99" spans="7:7" ht="15" customHeight="1" x14ac:dyDescent="0.35">
      <c r="G99" s="2" t="str">
        <f t="shared" si="2"/>
        <v/>
      </c>
    </row>
    <row r="100" spans="7:7" ht="15" customHeight="1" x14ac:dyDescent="0.35">
      <c r="G100" s="2" t="str">
        <f t="shared" ref="G100:G131" si="3">IF($A100="","",IF(OR($A100="",$B100="",$F100=""),"Missing required field",IF(AND($C100&lt;&gt;"",COUNTIF($C$4:$C$199,$C100)&gt;1),"Duplicate SKU",IF(COUNTIF($A$4:$A$199,$A100)&gt;1,"Duplicate product name","OK"))))</f>
        <v/>
      </c>
    </row>
    <row r="101" spans="7:7" ht="15" customHeight="1" x14ac:dyDescent="0.35">
      <c r="G101" s="2" t="str">
        <f t="shared" si="3"/>
        <v/>
      </c>
    </row>
    <row r="102" spans="7:7" ht="15" customHeight="1" x14ac:dyDescent="0.35">
      <c r="G102" s="2" t="str">
        <f t="shared" si="3"/>
        <v/>
      </c>
    </row>
    <row r="103" spans="7:7" ht="15" customHeight="1" x14ac:dyDescent="0.35">
      <c r="G103" s="2" t="str">
        <f t="shared" si="3"/>
        <v/>
      </c>
    </row>
    <row r="104" spans="7:7" ht="15" customHeight="1" x14ac:dyDescent="0.35">
      <c r="G104" s="2" t="str">
        <f t="shared" si="3"/>
        <v/>
      </c>
    </row>
    <row r="105" spans="7:7" ht="15" customHeight="1" x14ac:dyDescent="0.35">
      <c r="G105" s="2" t="str">
        <f t="shared" si="3"/>
        <v/>
      </c>
    </row>
    <row r="106" spans="7:7" ht="15" customHeight="1" x14ac:dyDescent="0.35">
      <c r="G106" s="2" t="str">
        <f t="shared" si="3"/>
        <v/>
      </c>
    </row>
    <row r="107" spans="7:7" ht="15" customHeight="1" x14ac:dyDescent="0.35">
      <c r="G107" s="2" t="str">
        <f t="shared" si="3"/>
        <v/>
      </c>
    </row>
    <row r="108" spans="7:7" ht="15" customHeight="1" x14ac:dyDescent="0.35">
      <c r="G108" s="2" t="str">
        <f t="shared" si="3"/>
        <v/>
      </c>
    </row>
    <row r="109" spans="7:7" ht="15" customHeight="1" x14ac:dyDescent="0.35">
      <c r="G109" s="2" t="str">
        <f t="shared" si="3"/>
        <v/>
      </c>
    </row>
    <row r="110" spans="7:7" ht="15" customHeight="1" x14ac:dyDescent="0.35">
      <c r="G110" s="2" t="str">
        <f t="shared" si="3"/>
        <v/>
      </c>
    </row>
    <row r="111" spans="7:7" ht="15" customHeight="1" x14ac:dyDescent="0.35">
      <c r="G111" s="2" t="str">
        <f t="shared" si="3"/>
        <v/>
      </c>
    </row>
    <row r="112" spans="7:7" ht="15" customHeight="1" x14ac:dyDescent="0.35">
      <c r="G112" s="2" t="str">
        <f t="shared" si="3"/>
        <v/>
      </c>
    </row>
    <row r="113" spans="7:7" ht="15" customHeight="1" x14ac:dyDescent="0.35">
      <c r="G113" s="2" t="str">
        <f t="shared" si="3"/>
        <v/>
      </c>
    </row>
    <row r="114" spans="7:7" ht="15" customHeight="1" x14ac:dyDescent="0.35">
      <c r="G114" s="2" t="str">
        <f t="shared" si="3"/>
        <v/>
      </c>
    </row>
    <row r="115" spans="7:7" ht="15" customHeight="1" x14ac:dyDescent="0.35">
      <c r="G115" s="2" t="str">
        <f t="shared" si="3"/>
        <v/>
      </c>
    </row>
    <row r="116" spans="7:7" ht="15" customHeight="1" x14ac:dyDescent="0.35">
      <c r="G116" s="2" t="str">
        <f t="shared" si="3"/>
        <v/>
      </c>
    </row>
    <row r="117" spans="7:7" ht="15" customHeight="1" x14ac:dyDescent="0.35">
      <c r="G117" s="2" t="str">
        <f t="shared" si="3"/>
        <v/>
      </c>
    </row>
    <row r="118" spans="7:7" ht="15" customHeight="1" x14ac:dyDescent="0.35">
      <c r="G118" s="2" t="str">
        <f t="shared" si="3"/>
        <v/>
      </c>
    </row>
    <row r="119" spans="7:7" ht="15" customHeight="1" x14ac:dyDescent="0.35">
      <c r="G119" s="2" t="str">
        <f t="shared" si="3"/>
        <v/>
      </c>
    </row>
    <row r="120" spans="7:7" ht="15" customHeight="1" x14ac:dyDescent="0.35">
      <c r="G120" s="2" t="str">
        <f t="shared" si="3"/>
        <v/>
      </c>
    </row>
    <row r="121" spans="7:7" ht="15" customHeight="1" x14ac:dyDescent="0.35">
      <c r="G121" s="2" t="str">
        <f t="shared" si="3"/>
        <v/>
      </c>
    </row>
    <row r="122" spans="7:7" ht="15" customHeight="1" x14ac:dyDescent="0.35">
      <c r="G122" s="2" t="str">
        <f t="shared" si="3"/>
        <v/>
      </c>
    </row>
    <row r="123" spans="7:7" ht="15" customHeight="1" x14ac:dyDescent="0.35">
      <c r="G123" s="2" t="str">
        <f t="shared" si="3"/>
        <v/>
      </c>
    </row>
    <row r="124" spans="7:7" ht="15" customHeight="1" x14ac:dyDescent="0.35">
      <c r="G124" s="2" t="str">
        <f t="shared" si="3"/>
        <v/>
      </c>
    </row>
    <row r="125" spans="7:7" ht="15" customHeight="1" x14ac:dyDescent="0.35">
      <c r="G125" s="2" t="str">
        <f t="shared" si="3"/>
        <v/>
      </c>
    </row>
    <row r="126" spans="7:7" ht="15" customHeight="1" x14ac:dyDescent="0.35">
      <c r="G126" s="2" t="str">
        <f t="shared" si="3"/>
        <v/>
      </c>
    </row>
    <row r="127" spans="7:7" ht="15" customHeight="1" x14ac:dyDescent="0.35">
      <c r="G127" s="2" t="str">
        <f t="shared" si="3"/>
        <v/>
      </c>
    </row>
    <row r="128" spans="7:7" ht="15" customHeight="1" x14ac:dyDescent="0.35">
      <c r="G128" s="2" t="str">
        <f t="shared" si="3"/>
        <v/>
      </c>
    </row>
    <row r="129" spans="7:7" ht="15" customHeight="1" x14ac:dyDescent="0.35">
      <c r="G129" s="2" t="str">
        <f t="shared" si="3"/>
        <v/>
      </c>
    </row>
    <row r="130" spans="7:7" ht="15" customHeight="1" x14ac:dyDescent="0.35">
      <c r="G130" s="2" t="str">
        <f t="shared" si="3"/>
        <v/>
      </c>
    </row>
    <row r="131" spans="7:7" ht="15" customHeight="1" x14ac:dyDescent="0.35">
      <c r="G131" s="2" t="str">
        <f t="shared" si="3"/>
        <v/>
      </c>
    </row>
    <row r="132" spans="7:7" ht="15" customHeight="1" x14ac:dyDescent="0.35">
      <c r="G132" s="2" t="str">
        <f t="shared" ref="G132:G163" si="4">IF($A132="","",IF(OR($A132="",$B132="",$F132=""),"Missing required field",IF(AND($C132&lt;&gt;"",COUNTIF($C$4:$C$199,$C132)&gt;1),"Duplicate SKU",IF(COUNTIF($A$4:$A$199,$A132)&gt;1,"Duplicate product name","OK"))))</f>
        <v/>
      </c>
    </row>
    <row r="133" spans="7:7" ht="15" customHeight="1" x14ac:dyDescent="0.35">
      <c r="G133" s="2" t="str">
        <f t="shared" si="4"/>
        <v/>
      </c>
    </row>
    <row r="134" spans="7:7" ht="15" customHeight="1" x14ac:dyDescent="0.35">
      <c r="G134" s="2" t="str">
        <f t="shared" si="4"/>
        <v/>
      </c>
    </row>
    <row r="135" spans="7:7" ht="15" customHeight="1" x14ac:dyDescent="0.35">
      <c r="G135" s="2" t="str">
        <f t="shared" si="4"/>
        <v/>
      </c>
    </row>
    <row r="136" spans="7:7" ht="15" customHeight="1" x14ac:dyDescent="0.35">
      <c r="G136" s="2" t="str">
        <f t="shared" si="4"/>
        <v/>
      </c>
    </row>
    <row r="137" spans="7:7" ht="15" customHeight="1" x14ac:dyDescent="0.35">
      <c r="G137" s="2" t="str">
        <f t="shared" si="4"/>
        <v/>
      </c>
    </row>
    <row r="138" spans="7:7" ht="15" customHeight="1" x14ac:dyDescent="0.35">
      <c r="G138" s="2" t="str">
        <f t="shared" si="4"/>
        <v/>
      </c>
    </row>
    <row r="139" spans="7:7" ht="15" customHeight="1" x14ac:dyDescent="0.35">
      <c r="G139" s="2" t="str">
        <f t="shared" si="4"/>
        <v/>
      </c>
    </row>
    <row r="140" spans="7:7" ht="15" customHeight="1" x14ac:dyDescent="0.35">
      <c r="G140" s="2" t="str">
        <f t="shared" si="4"/>
        <v/>
      </c>
    </row>
    <row r="141" spans="7:7" ht="15" customHeight="1" x14ac:dyDescent="0.35">
      <c r="G141" s="2" t="str">
        <f t="shared" si="4"/>
        <v/>
      </c>
    </row>
    <row r="142" spans="7:7" ht="15" customHeight="1" x14ac:dyDescent="0.35">
      <c r="G142" s="2" t="str">
        <f t="shared" si="4"/>
        <v/>
      </c>
    </row>
    <row r="143" spans="7:7" ht="15" customHeight="1" x14ac:dyDescent="0.35">
      <c r="G143" s="2" t="str">
        <f t="shared" si="4"/>
        <v/>
      </c>
    </row>
    <row r="144" spans="7:7" ht="15" customHeight="1" x14ac:dyDescent="0.35">
      <c r="G144" s="2" t="str">
        <f t="shared" si="4"/>
        <v/>
      </c>
    </row>
    <row r="145" spans="7:7" ht="15" customHeight="1" x14ac:dyDescent="0.35">
      <c r="G145" s="2" t="str">
        <f t="shared" si="4"/>
        <v/>
      </c>
    </row>
    <row r="146" spans="7:7" ht="15" customHeight="1" x14ac:dyDescent="0.35">
      <c r="G146" s="2" t="str">
        <f t="shared" si="4"/>
        <v/>
      </c>
    </row>
    <row r="147" spans="7:7" ht="15" customHeight="1" x14ac:dyDescent="0.35">
      <c r="G147" s="2" t="str">
        <f t="shared" si="4"/>
        <v/>
      </c>
    </row>
    <row r="148" spans="7:7" ht="15" customHeight="1" x14ac:dyDescent="0.35">
      <c r="G148" s="2" t="str">
        <f t="shared" si="4"/>
        <v/>
      </c>
    </row>
    <row r="149" spans="7:7" ht="15" customHeight="1" x14ac:dyDescent="0.35">
      <c r="G149" s="2" t="str">
        <f t="shared" si="4"/>
        <v/>
      </c>
    </row>
    <row r="150" spans="7:7" ht="15" customHeight="1" x14ac:dyDescent="0.35">
      <c r="G150" s="2" t="str">
        <f t="shared" si="4"/>
        <v/>
      </c>
    </row>
    <row r="151" spans="7:7" ht="15" customHeight="1" x14ac:dyDescent="0.35">
      <c r="G151" s="2" t="str">
        <f t="shared" si="4"/>
        <v/>
      </c>
    </row>
    <row r="152" spans="7:7" ht="15" customHeight="1" x14ac:dyDescent="0.35">
      <c r="G152" s="2" t="str">
        <f t="shared" si="4"/>
        <v/>
      </c>
    </row>
    <row r="153" spans="7:7" ht="15" customHeight="1" x14ac:dyDescent="0.35">
      <c r="G153" s="2" t="str">
        <f t="shared" si="4"/>
        <v/>
      </c>
    </row>
    <row r="154" spans="7:7" ht="15" customHeight="1" x14ac:dyDescent="0.35">
      <c r="G154" s="2" t="str">
        <f t="shared" si="4"/>
        <v/>
      </c>
    </row>
    <row r="155" spans="7:7" ht="15" customHeight="1" x14ac:dyDescent="0.35">
      <c r="G155" s="2" t="str">
        <f t="shared" si="4"/>
        <v/>
      </c>
    </row>
    <row r="156" spans="7:7" ht="15" customHeight="1" x14ac:dyDescent="0.35">
      <c r="G156" s="2" t="str">
        <f t="shared" si="4"/>
        <v/>
      </c>
    </row>
    <row r="157" spans="7:7" ht="15" customHeight="1" x14ac:dyDescent="0.35">
      <c r="G157" s="2" t="str">
        <f t="shared" si="4"/>
        <v/>
      </c>
    </row>
    <row r="158" spans="7:7" ht="15" customHeight="1" x14ac:dyDescent="0.35">
      <c r="G158" s="2" t="str">
        <f t="shared" si="4"/>
        <v/>
      </c>
    </row>
    <row r="159" spans="7:7" ht="15" customHeight="1" x14ac:dyDescent="0.35">
      <c r="G159" s="2" t="str">
        <f t="shared" si="4"/>
        <v/>
      </c>
    </row>
    <row r="160" spans="7:7" ht="15" customHeight="1" x14ac:dyDescent="0.35">
      <c r="G160" s="2" t="str">
        <f t="shared" si="4"/>
        <v/>
      </c>
    </row>
    <row r="161" spans="7:7" ht="15" customHeight="1" x14ac:dyDescent="0.35">
      <c r="G161" s="2" t="str">
        <f t="shared" si="4"/>
        <v/>
      </c>
    </row>
    <row r="162" spans="7:7" ht="15" customHeight="1" x14ac:dyDescent="0.35">
      <c r="G162" s="2" t="str">
        <f t="shared" si="4"/>
        <v/>
      </c>
    </row>
    <row r="163" spans="7:7" ht="15" customHeight="1" x14ac:dyDescent="0.35">
      <c r="G163" s="2" t="str">
        <f t="shared" si="4"/>
        <v/>
      </c>
    </row>
    <row r="164" spans="7:7" ht="15" customHeight="1" x14ac:dyDescent="0.35">
      <c r="G164" s="2" t="str">
        <f t="shared" ref="G164:G199" si="5">IF($A164="","",IF(OR($A164="",$B164="",$F164=""),"Missing required field",IF(AND($C164&lt;&gt;"",COUNTIF($C$4:$C$199,$C164)&gt;1),"Duplicate SKU",IF(COUNTIF($A$4:$A$199,$A164)&gt;1,"Duplicate product name","OK"))))</f>
        <v/>
      </c>
    </row>
    <row r="165" spans="7:7" ht="15" customHeight="1" x14ac:dyDescent="0.35">
      <c r="G165" s="2" t="str">
        <f t="shared" si="5"/>
        <v/>
      </c>
    </row>
    <row r="166" spans="7:7" ht="15" customHeight="1" x14ac:dyDescent="0.35">
      <c r="G166" s="2" t="str">
        <f t="shared" si="5"/>
        <v/>
      </c>
    </row>
    <row r="167" spans="7:7" ht="15" customHeight="1" x14ac:dyDescent="0.35">
      <c r="G167" s="2" t="str">
        <f t="shared" si="5"/>
        <v/>
      </c>
    </row>
    <row r="168" spans="7:7" ht="15" customHeight="1" x14ac:dyDescent="0.35">
      <c r="G168" s="2" t="str">
        <f t="shared" si="5"/>
        <v/>
      </c>
    </row>
    <row r="169" spans="7:7" ht="15" customHeight="1" x14ac:dyDescent="0.35">
      <c r="G169" s="2" t="str">
        <f t="shared" si="5"/>
        <v/>
      </c>
    </row>
    <row r="170" spans="7:7" ht="15" customHeight="1" x14ac:dyDescent="0.35">
      <c r="G170" s="2" t="str">
        <f t="shared" si="5"/>
        <v/>
      </c>
    </row>
    <row r="171" spans="7:7" ht="15" customHeight="1" x14ac:dyDescent="0.35">
      <c r="G171" s="2" t="str">
        <f t="shared" si="5"/>
        <v/>
      </c>
    </row>
    <row r="172" spans="7:7" ht="15" customHeight="1" x14ac:dyDescent="0.35">
      <c r="G172" s="2" t="str">
        <f t="shared" si="5"/>
        <v/>
      </c>
    </row>
    <row r="173" spans="7:7" ht="15" customHeight="1" x14ac:dyDescent="0.35">
      <c r="G173" s="2" t="str">
        <f t="shared" si="5"/>
        <v/>
      </c>
    </row>
    <row r="174" spans="7:7" ht="15" customHeight="1" x14ac:dyDescent="0.35">
      <c r="G174" s="2" t="str">
        <f t="shared" si="5"/>
        <v/>
      </c>
    </row>
    <row r="175" spans="7:7" ht="15" customHeight="1" x14ac:dyDescent="0.35">
      <c r="G175" s="2" t="str">
        <f t="shared" si="5"/>
        <v/>
      </c>
    </row>
    <row r="176" spans="7:7" ht="15" customHeight="1" x14ac:dyDescent="0.35">
      <c r="G176" s="2" t="str">
        <f t="shared" si="5"/>
        <v/>
      </c>
    </row>
    <row r="177" spans="7:7" ht="15" customHeight="1" x14ac:dyDescent="0.35">
      <c r="G177" s="2" t="str">
        <f t="shared" si="5"/>
        <v/>
      </c>
    </row>
    <row r="178" spans="7:7" ht="15" customHeight="1" x14ac:dyDescent="0.35">
      <c r="G178" s="2" t="str">
        <f t="shared" si="5"/>
        <v/>
      </c>
    </row>
    <row r="179" spans="7:7" ht="15" customHeight="1" x14ac:dyDescent="0.35">
      <c r="G179" s="2" t="str">
        <f t="shared" si="5"/>
        <v/>
      </c>
    </row>
    <row r="180" spans="7:7" ht="15" customHeight="1" x14ac:dyDescent="0.35">
      <c r="G180" s="2" t="str">
        <f t="shared" si="5"/>
        <v/>
      </c>
    </row>
    <row r="181" spans="7:7" ht="15" customHeight="1" x14ac:dyDescent="0.35">
      <c r="G181" s="2" t="str">
        <f t="shared" si="5"/>
        <v/>
      </c>
    </row>
    <row r="182" spans="7:7" ht="15" customHeight="1" x14ac:dyDescent="0.35">
      <c r="G182" s="2" t="str">
        <f t="shared" si="5"/>
        <v/>
      </c>
    </row>
    <row r="183" spans="7:7" ht="15" customHeight="1" x14ac:dyDescent="0.35">
      <c r="G183" s="2" t="str">
        <f t="shared" si="5"/>
        <v/>
      </c>
    </row>
    <row r="184" spans="7:7" ht="15" customHeight="1" x14ac:dyDescent="0.35">
      <c r="G184" s="2" t="str">
        <f t="shared" si="5"/>
        <v/>
      </c>
    </row>
    <row r="185" spans="7:7" ht="15" customHeight="1" x14ac:dyDescent="0.35">
      <c r="G185" s="2" t="str">
        <f t="shared" si="5"/>
        <v/>
      </c>
    </row>
    <row r="186" spans="7:7" ht="15" customHeight="1" x14ac:dyDescent="0.35">
      <c r="G186" s="2" t="str">
        <f t="shared" si="5"/>
        <v/>
      </c>
    </row>
    <row r="187" spans="7:7" ht="15" customHeight="1" x14ac:dyDescent="0.35">
      <c r="G187" s="2" t="str">
        <f t="shared" si="5"/>
        <v/>
      </c>
    </row>
    <row r="188" spans="7:7" ht="15" customHeight="1" x14ac:dyDescent="0.35">
      <c r="G188" s="2" t="str">
        <f t="shared" si="5"/>
        <v/>
      </c>
    </row>
    <row r="189" spans="7:7" ht="15" customHeight="1" x14ac:dyDescent="0.35">
      <c r="G189" s="2" t="str">
        <f t="shared" si="5"/>
        <v/>
      </c>
    </row>
    <row r="190" spans="7:7" ht="15" customHeight="1" x14ac:dyDescent="0.35">
      <c r="G190" s="2" t="str">
        <f t="shared" si="5"/>
        <v/>
      </c>
    </row>
    <row r="191" spans="7:7" ht="15" customHeight="1" x14ac:dyDescent="0.35">
      <c r="G191" s="2" t="str">
        <f t="shared" si="5"/>
        <v/>
      </c>
    </row>
    <row r="192" spans="7:7" ht="15" customHeight="1" x14ac:dyDescent="0.35">
      <c r="G192" s="2" t="str">
        <f t="shared" si="5"/>
        <v/>
      </c>
    </row>
    <row r="193" spans="7:7" ht="15" customHeight="1" x14ac:dyDescent="0.35">
      <c r="G193" s="2" t="str">
        <f t="shared" si="5"/>
        <v/>
      </c>
    </row>
    <row r="194" spans="7:7" ht="15" customHeight="1" x14ac:dyDescent="0.35">
      <c r="G194" s="2" t="str">
        <f t="shared" si="5"/>
        <v/>
      </c>
    </row>
    <row r="195" spans="7:7" ht="15" customHeight="1" x14ac:dyDescent="0.35">
      <c r="G195" s="2" t="str">
        <f t="shared" si="5"/>
        <v/>
      </c>
    </row>
    <row r="196" spans="7:7" ht="15" customHeight="1" x14ac:dyDescent="0.35">
      <c r="G196" s="2" t="str">
        <f t="shared" si="5"/>
        <v/>
      </c>
    </row>
    <row r="197" spans="7:7" ht="15" customHeight="1" x14ac:dyDescent="0.35">
      <c r="G197" s="2" t="str">
        <f t="shared" si="5"/>
        <v/>
      </c>
    </row>
    <row r="198" spans="7:7" ht="15" customHeight="1" x14ac:dyDescent="0.35">
      <c r="G198" s="2" t="str">
        <f t="shared" si="5"/>
        <v/>
      </c>
    </row>
    <row r="199" spans="7:7" ht="15" customHeight="1" x14ac:dyDescent="0.35">
      <c r="G199" s="2" t="str">
        <f t="shared" si="5"/>
        <v/>
      </c>
    </row>
  </sheetData>
  <mergeCells count="2">
    <mergeCell ref="A1:E1"/>
    <mergeCell ref="A2:E2"/>
  </mergeCells>
  <conditionalFormatting sqref="G4:G199">
    <cfRule type="expression" dxfId="11" priority="2">
      <formula>AND(G4&lt;&gt;"",G4&lt;&gt;"OK")</formula>
    </cfRule>
    <cfRule type="expression" dxfId="10" priority="3">
      <formula>G4="OK"</formula>
    </cfRule>
  </conditionalFormatting>
  <dataValidations count="1">
    <dataValidation type="list" allowBlank="1" sqref="F4:F199" xr:uid="{00000000-0002-0000-0600-000000000000}">
      <formula1>BusinessGroupsList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0"/>
  <sheetViews>
    <sheetView showGridLines="0" workbookViewId="0">
      <selection activeCell="E13" sqref="E13"/>
    </sheetView>
  </sheetViews>
  <sheetFormatPr defaultColWidth="8.54296875" defaultRowHeight="14.5" x14ac:dyDescent="0.35"/>
  <cols>
    <col min="1" max="1" width="28" style="1" customWidth="1"/>
    <col min="2" max="2" width="20.81640625" style="1" customWidth="1"/>
    <col min="3" max="3" width="19.1796875" style="1" customWidth="1"/>
    <col min="4" max="4" width="25" style="1" customWidth="1"/>
    <col min="5" max="5" width="20" style="1" customWidth="1"/>
    <col min="6" max="6" width="19.54296875" style="1" customWidth="1"/>
    <col min="7" max="7" width="30.1796875" style="1" customWidth="1"/>
    <col min="8" max="8" width="29.54296875" style="1" customWidth="1"/>
    <col min="9" max="9" width="22" style="1" customWidth="1"/>
    <col min="10" max="10" width="32" style="1" customWidth="1"/>
  </cols>
  <sheetData>
    <row r="1" spans="1:10" s="17" customFormat="1" ht="21.75" customHeight="1" x14ac:dyDescent="0.4">
      <c r="A1" s="68" t="s">
        <v>27</v>
      </c>
      <c r="B1" s="68"/>
      <c r="C1" s="68"/>
      <c r="D1" s="68"/>
      <c r="E1" s="68"/>
      <c r="F1" s="68"/>
      <c r="G1" s="68"/>
      <c r="H1" s="68"/>
      <c r="I1" s="16"/>
      <c r="J1" s="16"/>
    </row>
    <row r="2" spans="1:10" ht="15.75" customHeight="1" x14ac:dyDescent="0.35">
      <c r="A2" s="69" t="s">
        <v>132</v>
      </c>
      <c r="B2" s="69"/>
      <c r="C2" s="69"/>
      <c r="D2" s="69"/>
      <c r="E2" s="69"/>
      <c r="F2" s="69"/>
      <c r="G2" s="69"/>
      <c r="H2" s="69"/>
    </row>
    <row r="3" spans="1:10" s="19" customFormat="1" ht="30" customHeight="1" x14ac:dyDescent="0.35">
      <c r="A3" s="41" t="s">
        <v>133</v>
      </c>
      <c r="B3" s="41" t="s">
        <v>134</v>
      </c>
      <c r="C3" s="41" t="s">
        <v>135</v>
      </c>
      <c r="D3" s="41" t="s">
        <v>136</v>
      </c>
      <c r="E3" s="41" t="s">
        <v>116</v>
      </c>
      <c r="F3" s="41" t="s">
        <v>117</v>
      </c>
      <c r="G3" s="41" t="s">
        <v>137</v>
      </c>
      <c r="H3" s="41" t="s">
        <v>48</v>
      </c>
      <c r="I3" s="46" t="s">
        <v>89</v>
      </c>
      <c r="J3" s="46" t="s">
        <v>50</v>
      </c>
    </row>
    <row r="4" spans="1:10" ht="15" customHeight="1" x14ac:dyDescent="0.35">
      <c r="A4" s="37" t="s">
        <v>395</v>
      </c>
      <c r="B4" s="37" t="s">
        <v>402</v>
      </c>
      <c r="C4" s="37" t="s">
        <v>396</v>
      </c>
      <c r="D4" s="37" t="s">
        <v>397</v>
      </c>
      <c r="E4" s="37" t="s">
        <v>395</v>
      </c>
      <c r="F4" s="37" t="s">
        <v>140</v>
      </c>
      <c r="G4" s="37"/>
      <c r="H4" s="37"/>
      <c r="I4" s="32" t="s">
        <v>63</v>
      </c>
      <c r="J4" s="32" t="str">
        <f t="shared" ref="J4:J35" si="0">IF($A4="","",IF(OR($A4="",$I4=""),"Missing required field",IF(AND($G4&lt;&gt;"",ISERROR(FIND("@",$G4))),"Invalid email format",IF(COUNTIF($A$4:$A$200,$A4)&gt;1,"Duplicate customer name","OK"))))</f>
        <v>OK</v>
      </c>
    </row>
    <row r="5" spans="1:10" ht="15" customHeight="1" x14ac:dyDescent="0.35">
      <c r="A5" s="24" t="s">
        <v>374</v>
      </c>
      <c r="B5" s="37" t="s">
        <v>402</v>
      </c>
      <c r="C5" s="24" t="s">
        <v>362</v>
      </c>
      <c r="D5" s="24" t="s">
        <v>405</v>
      </c>
      <c r="E5" s="24" t="s">
        <v>374</v>
      </c>
      <c r="F5" s="24"/>
      <c r="G5" s="24"/>
      <c r="H5" s="24"/>
      <c r="I5" s="14" t="s">
        <v>74</v>
      </c>
      <c r="J5" s="24" t="str">
        <f t="shared" si="0"/>
        <v>OK</v>
      </c>
    </row>
    <row r="6" spans="1:10" ht="15" customHeight="1" x14ac:dyDescent="0.35">
      <c r="A6" s="24" t="s">
        <v>398</v>
      </c>
      <c r="B6" s="37" t="s">
        <v>402</v>
      </c>
      <c r="C6" s="24" t="s">
        <v>362</v>
      </c>
      <c r="D6" s="24" t="s">
        <v>405</v>
      </c>
      <c r="E6" s="24" t="s">
        <v>398</v>
      </c>
      <c r="F6" s="24"/>
      <c r="G6" s="24"/>
      <c r="H6" s="24"/>
      <c r="I6" s="14" t="s">
        <v>74</v>
      </c>
      <c r="J6" s="24" t="str">
        <f t="shared" si="0"/>
        <v>OK</v>
      </c>
    </row>
    <row r="7" spans="1:10" ht="15" customHeight="1" x14ac:dyDescent="0.35">
      <c r="A7" s="24" t="s">
        <v>376</v>
      </c>
      <c r="B7" s="37" t="s">
        <v>402</v>
      </c>
      <c r="C7" s="24" t="s">
        <v>431</v>
      </c>
      <c r="D7" s="24" t="s">
        <v>366</v>
      </c>
      <c r="E7" s="24" t="s">
        <v>376</v>
      </c>
      <c r="F7" s="24"/>
      <c r="G7" s="24"/>
      <c r="H7" s="24"/>
      <c r="I7" s="14" t="s">
        <v>74</v>
      </c>
      <c r="J7" s="24" t="str">
        <f t="shared" si="0"/>
        <v>OK</v>
      </c>
    </row>
    <row r="8" spans="1:10" ht="15" customHeight="1" x14ac:dyDescent="0.35">
      <c r="A8" s="24" t="s">
        <v>399</v>
      </c>
      <c r="B8" s="37" t="s">
        <v>402</v>
      </c>
      <c r="C8" s="24" t="s">
        <v>403</v>
      </c>
      <c r="D8" s="24" t="s">
        <v>365</v>
      </c>
      <c r="E8" s="24" t="s">
        <v>399</v>
      </c>
      <c r="F8" s="24"/>
      <c r="G8" s="24"/>
      <c r="H8" s="24"/>
      <c r="I8" s="14" t="s">
        <v>74</v>
      </c>
      <c r="J8" s="24" t="str">
        <f t="shared" si="0"/>
        <v>OK</v>
      </c>
    </row>
    <row r="9" spans="1:10" ht="15" customHeight="1" x14ac:dyDescent="0.35">
      <c r="A9" s="24" t="s">
        <v>400</v>
      </c>
      <c r="B9" s="37" t="s">
        <v>402</v>
      </c>
      <c r="C9" s="24" t="s">
        <v>362</v>
      </c>
      <c r="D9" s="24" t="s">
        <v>362</v>
      </c>
      <c r="E9" s="24" t="s">
        <v>400</v>
      </c>
      <c r="F9" s="24"/>
      <c r="G9" s="24"/>
      <c r="H9" s="24"/>
      <c r="I9" s="14" t="s">
        <v>74</v>
      </c>
      <c r="J9" s="24" t="str">
        <f t="shared" si="0"/>
        <v>OK</v>
      </c>
    </row>
    <row r="10" spans="1:10" ht="15" customHeight="1" x14ac:dyDescent="0.35">
      <c r="A10" s="24" t="s">
        <v>379</v>
      </c>
      <c r="B10" s="37" t="s">
        <v>402</v>
      </c>
      <c r="C10" s="24" t="s">
        <v>362</v>
      </c>
      <c r="D10" s="24" t="s">
        <v>362</v>
      </c>
      <c r="E10" s="24" t="s">
        <v>379</v>
      </c>
      <c r="F10" s="24"/>
      <c r="G10" s="24"/>
      <c r="H10" s="24"/>
      <c r="I10" s="14" t="s">
        <v>74</v>
      </c>
      <c r="J10" s="24" t="str">
        <f t="shared" si="0"/>
        <v>OK</v>
      </c>
    </row>
    <row r="11" spans="1:10" ht="15" customHeight="1" x14ac:dyDescent="0.35">
      <c r="A11" s="24" t="s">
        <v>401</v>
      </c>
      <c r="B11" s="37" t="s">
        <v>402</v>
      </c>
      <c r="C11" s="24" t="s">
        <v>430</v>
      </c>
      <c r="D11" s="24" t="s">
        <v>404</v>
      </c>
      <c r="E11" s="24" t="s">
        <v>401</v>
      </c>
      <c r="F11" s="24"/>
      <c r="G11" s="24"/>
      <c r="H11" s="24"/>
      <c r="I11" s="14" t="s">
        <v>74</v>
      </c>
      <c r="J11" s="24" t="str">
        <f t="shared" si="0"/>
        <v>OK</v>
      </c>
    </row>
    <row r="12" spans="1:10" ht="15" customHeight="1" x14ac:dyDescent="0.35">
      <c r="A12" s="24" t="s">
        <v>381</v>
      </c>
      <c r="B12" s="37" t="s">
        <v>402</v>
      </c>
      <c r="C12" s="24" t="s">
        <v>362</v>
      </c>
      <c r="D12" s="24" t="s">
        <v>405</v>
      </c>
      <c r="E12" s="24" t="s">
        <v>451</v>
      </c>
      <c r="F12" s="24"/>
      <c r="G12" s="24"/>
      <c r="H12" s="24"/>
      <c r="I12" s="14" t="s">
        <v>58</v>
      </c>
      <c r="J12" s="24" t="str">
        <f t="shared" si="0"/>
        <v>OK</v>
      </c>
    </row>
    <row r="13" spans="1:10" ht="15" customHeight="1" x14ac:dyDescent="0.35">
      <c r="A13" s="24" t="s">
        <v>449</v>
      </c>
      <c r="B13" s="37" t="s">
        <v>402</v>
      </c>
      <c r="C13" s="24" t="s">
        <v>362</v>
      </c>
      <c r="D13" s="24" t="s">
        <v>405</v>
      </c>
      <c r="E13" s="24" t="s">
        <v>452</v>
      </c>
      <c r="F13" s="24"/>
      <c r="G13" s="24"/>
      <c r="H13" s="24"/>
      <c r="I13" s="14" t="s">
        <v>58</v>
      </c>
      <c r="J13" s="24" t="str">
        <f t="shared" si="0"/>
        <v>OK</v>
      </c>
    </row>
    <row r="14" spans="1:10" ht="15" customHeight="1" x14ac:dyDescent="0.35">
      <c r="A14" s="24" t="s">
        <v>450</v>
      </c>
      <c r="B14" s="37" t="s">
        <v>402</v>
      </c>
      <c r="C14" s="24" t="s">
        <v>362</v>
      </c>
      <c r="D14" s="24" t="s">
        <v>405</v>
      </c>
      <c r="E14" s="24" t="s">
        <v>453</v>
      </c>
      <c r="F14" s="24"/>
      <c r="G14" s="24"/>
      <c r="H14" s="24"/>
      <c r="I14" s="14" t="s">
        <v>58</v>
      </c>
      <c r="J14" s="24" t="str">
        <f t="shared" si="0"/>
        <v>OK</v>
      </c>
    </row>
    <row r="15" spans="1:10" ht="15" customHeight="1" x14ac:dyDescent="0.35">
      <c r="A15" s="24" t="s">
        <v>444</v>
      </c>
      <c r="B15" s="37" t="s">
        <v>402</v>
      </c>
      <c r="C15" s="24" t="s">
        <v>431</v>
      </c>
      <c r="D15" s="24" t="s">
        <v>366</v>
      </c>
      <c r="E15" s="24" t="s">
        <v>454</v>
      </c>
      <c r="F15" s="24"/>
      <c r="G15" s="24"/>
      <c r="H15" s="24"/>
      <c r="I15" s="14" t="s">
        <v>58</v>
      </c>
      <c r="J15" s="24" t="str">
        <f t="shared" si="0"/>
        <v>OK</v>
      </c>
    </row>
    <row r="16" spans="1:10" ht="15" customHeight="1" x14ac:dyDescent="0.35">
      <c r="A16" s="24"/>
      <c r="B16" s="24"/>
      <c r="C16" s="24"/>
      <c r="D16" s="24"/>
      <c r="E16" s="24"/>
      <c r="F16" s="24"/>
      <c r="G16" s="24"/>
      <c r="H16" s="24"/>
      <c r="I16" s="14"/>
      <c r="J16" s="24" t="str">
        <f t="shared" si="0"/>
        <v/>
      </c>
    </row>
    <row r="17" spans="1:10" ht="15" customHeight="1" x14ac:dyDescent="0.35">
      <c r="A17" s="24"/>
      <c r="B17" s="24"/>
      <c r="C17" s="24"/>
      <c r="D17" s="24"/>
      <c r="E17" s="24"/>
      <c r="F17" s="24"/>
      <c r="G17" s="24"/>
      <c r="H17" s="24"/>
      <c r="I17" s="14"/>
      <c r="J17" s="24" t="str">
        <f t="shared" si="0"/>
        <v/>
      </c>
    </row>
    <row r="18" spans="1:10" ht="15" customHeight="1" x14ac:dyDescent="0.35">
      <c r="A18" s="24"/>
      <c r="B18" s="24"/>
      <c r="C18" s="24"/>
      <c r="D18" s="24"/>
      <c r="E18" s="24"/>
      <c r="F18" s="24"/>
      <c r="G18" s="24"/>
      <c r="H18" s="24"/>
      <c r="I18" s="14"/>
      <c r="J18" s="24" t="str">
        <f t="shared" si="0"/>
        <v/>
      </c>
    </row>
    <row r="19" spans="1:10" ht="15" customHeight="1" x14ac:dyDescent="0.35">
      <c r="A19" s="24"/>
      <c r="B19" s="24"/>
      <c r="C19" s="24"/>
      <c r="D19" s="24"/>
      <c r="E19" s="24"/>
      <c r="F19" s="24"/>
      <c r="G19" s="24"/>
      <c r="H19" s="24"/>
      <c r="I19" s="14"/>
      <c r="J19" s="24" t="str">
        <f t="shared" si="0"/>
        <v/>
      </c>
    </row>
    <row r="20" spans="1:10" ht="15" customHeight="1" x14ac:dyDescent="0.35">
      <c r="A20" s="24"/>
      <c r="B20" s="24"/>
      <c r="C20" s="24"/>
      <c r="D20" s="24"/>
      <c r="E20" s="24"/>
      <c r="F20" s="24"/>
      <c r="G20" s="24"/>
      <c r="H20" s="24"/>
      <c r="I20" s="14"/>
      <c r="J20" s="24" t="str">
        <f t="shared" si="0"/>
        <v/>
      </c>
    </row>
    <row r="21" spans="1:10" ht="15" customHeight="1" x14ac:dyDescent="0.35">
      <c r="A21" s="24"/>
      <c r="B21" s="24"/>
      <c r="C21" s="24"/>
      <c r="D21" s="24"/>
      <c r="E21" s="24"/>
      <c r="F21" s="24"/>
      <c r="G21" s="24"/>
      <c r="H21" s="24"/>
      <c r="I21" s="14"/>
      <c r="J21" s="24" t="str">
        <f t="shared" si="0"/>
        <v/>
      </c>
    </row>
    <row r="22" spans="1:10" ht="15" customHeight="1" x14ac:dyDescent="0.35">
      <c r="A22" s="36"/>
      <c r="B22" s="36"/>
      <c r="C22" s="36"/>
      <c r="D22" s="36"/>
      <c r="E22" s="63"/>
      <c r="F22" s="36"/>
      <c r="G22" s="36"/>
      <c r="H22" s="36"/>
      <c r="I22" s="50"/>
      <c r="J22" s="51" t="str">
        <f t="shared" si="0"/>
        <v/>
      </c>
    </row>
    <row r="23" spans="1:10" ht="15" customHeight="1" x14ac:dyDescent="0.35">
      <c r="A23" s="5"/>
      <c r="B23" s="5"/>
      <c r="C23" s="5"/>
      <c r="D23" s="5"/>
      <c r="E23" s="64"/>
      <c r="F23" s="5"/>
      <c r="G23" s="5"/>
      <c r="H23" s="5"/>
      <c r="J23" s="2" t="str">
        <f t="shared" si="0"/>
        <v/>
      </c>
    </row>
    <row r="24" spans="1:10" ht="15" customHeight="1" x14ac:dyDescent="0.35">
      <c r="A24" s="5"/>
      <c r="B24" s="5"/>
      <c r="C24" s="5"/>
      <c r="D24" s="5"/>
      <c r="E24" s="64"/>
      <c r="F24" s="5"/>
      <c r="G24" s="5"/>
      <c r="H24" s="5"/>
      <c r="J24" s="2" t="str">
        <f t="shared" si="0"/>
        <v/>
      </c>
    </row>
    <row r="25" spans="1:10" ht="15" customHeight="1" x14ac:dyDescent="0.35">
      <c r="A25" s="5"/>
      <c r="B25" s="5"/>
      <c r="C25" s="5"/>
      <c r="D25" s="5"/>
      <c r="E25" s="64"/>
      <c r="F25" s="5"/>
      <c r="G25" s="5"/>
      <c r="H25" s="5"/>
      <c r="J25" s="2" t="str">
        <f t="shared" si="0"/>
        <v/>
      </c>
    </row>
    <row r="26" spans="1:10" ht="15" customHeight="1" x14ac:dyDescent="0.35">
      <c r="A26" s="5"/>
      <c r="B26" s="5"/>
      <c r="C26" s="5"/>
      <c r="D26" s="5"/>
      <c r="E26" s="64"/>
      <c r="F26" s="5"/>
      <c r="G26" s="5"/>
      <c r="H26" s="5"/>
      <c r="J26" s="2" t="str">
        <f t="shared" si="0"/>
        <v/>
      </c>
    </row>
    <row r="27" spans="1:10" ht="15" customHeight="1" x14ac:dyDescent="0.35">
      <c r="A27" s="5"/>
      <c r="B27" s="5"/>
      <c r="C27" s="5"/>
      <c r="D27" s="5"/>
      <c r="E27" s="64"/>
      <c r="F27" s="5"/>
      <c r="G27" s="5"/>
      <c r="H27" s="5"/>
      <c r="J27" s="2" t="str">
        <f t="shared" si="0"/>
        <v/>
      </c>
    </row>
    <row r="28" spans="1:10" ht="15" customHeight="1" x14ac:dyDescent="0.35">
      <c r="A28" s="5"/>
      <c r="B28" s="5"/>
      <c r="C28" s="5"/>
      <c r="D28" s="5"/>
      <c r="E28" s="64"/>
      <c r="F28" s="5"/>
      <c r="G28" s="5"/>
      <c r="H28" s="5"/>
      <c r="J28" s="2" t="str">
        <f t="shared" si="0"/>
        <v/>
      </c>
    </row>
    <row r="29" spans="1:10" ht="15" customHeight="1" x14ac:dyDescent="0.35">
      <c r="A29" s="5"/>
      <c r="B29" s="5"/>
      <c r="C29" s="5"/>
      <c r="D29" s="5"/>
      <c r="E29" s="64"/>
      <c r="F29" s="5"/>
      <c r="G29" s="5"/>
      <c r="H29" s="5"/>
      <c r="J29" s="2" t="str">
        <f t="shared" si="0"/>
        <v/>
      </c>
    </row>
    <row r="30" spans="1:10" ht="15" customHeight="1" x14ac:dyDescent="0.35">
      <c r="E30" s="65"/>
      <c r="J30" s="2" t="str">
        <f t="shared" si="0"/>
        <v/>
      </c>
    </row>
    <row r="31" spans="1:10" ht="15" customHeight="1" x14ac:dyDescent="0.35">
      <c r="E31" s="65"/>
      <c r="J31" s="2" t="str">
        <f t="shared" si="0"/>
        <v/>
      </c>
    </row>
    <row r="32" spans="1:10" ht="15" customHeight="1" x14ac:dyDescent="0.35">
      <c r="E32" s="65"/>
      <c r="J32" s="2" t="str">
        <f t="shared" si="0"/>
        <v/>
      </c>
    </row>
    <row r="33" spans="5:10" ht="15" customHeight="1" x14ac:dyDescent="0.35">
      <c r="E33" s="65"/>
      <c r="J33" s="2" t="str">
        <f t="shared" si="0"/>
        <v/>
      </c>
    </row>
    <row r="34" spans="5:10" ht="15" customHeight="1" x14ac:dyDescent="0.35">
      <c r="E34" s="65"/>
      <c r="J34" s="2" t="str">
        <f t="shared" si="0"/>
        <v/>
      </c>
    </row>
    <row r="35" spans="5:10" ht="15" customHeight="1" x14ac:dyDescent="0.35">
      <c r="E35" s="65"/>
      <c r="J35" s="2" t="str">
        <f t="shared" si="0"/>
        <v/>
      </c>
    </row>
    <row r="36" spans="5:10" ht="15" customHeight="1" x14ac:dyDescent="0.35">
      <c r="E36" s="65"/>
      <c r="J36" s="2" t="str">
        <f t="shared" ref="J36:J67" si="1">IF($A36="","",IF(OR($A36="",$I36=""),"Missing required field",IF(AND($G36&lt;&gt;"",ISERROR(FIND("@",$G36))),"Invalid email format",IF(COUNTIF($A$4:$A$200,$A36)&gt;1,"Duplicate customer name","OK"))))</f>
        <v/>
      </c>
    </row>
    <row r="37" spans="5:10" ht="15" customHeight="1" x14ac:dyDescent="0.35">
      <c r="E37" s="65"/>
      <c r="J37" s="2" t="str">
        <f t="shared" si="1"/>
        <v/>
      </c>
    </row>
    <row r="38" spans="5:10" ht="15" customHeight="1" x14ac:dyDescent="0.35">
      <c r="E38" s="65"/>
      <c r="J38" s="2" t="str">
        <f t="shared" si="1"/>
        <v/>
      </c>
    </row>
    <row r="39" spans="5:10" ht="15" customHeight="1" x14ac:dyDescent="0.35">
      <c r="E39" s="65"/>
      <c r="J39" s="2" t="str">
        <f t="shared" si="1"/>
        <v/>
      </c>
    </row>
    <row r="40" spans="5:10" ht="15" customHeight="1" x14ac:dyDescent="0.35">
      <c r="E40" s="65"/>
      <c r="J40" s="2" t="str">
        <f t="shared" si="1"/>
        <v/>
      </c>
    </row>
    <row r="41" spans="5:10" ht="15" customHeight="1" x14ac:dyDescent="0.35">
      <c r="E41" s="65"/>
      <c r="J41" s="2" t="str">
        <f t="shared" si="1"/>
        <v/>
      </c>
    </row>
    <row r="42" spans="5:10" ht="15" customHeight="1" x14ac:dyDescent="0.35">
      <c r="E42" s="65"/>
      <c r="J42" s="2" t="str">
        <f t="shared" si="1"/>
        <v/>
      </c>
    </row>
    <row r="43" spans="5:10" ht="15" customHeight="1" x14ac:dyDescent="0.35">
      <c r="E43" s="65"/>
      <c r="J43" s="2" t="str">
        <f t="shared" si="1"/>
        <v/>
      </c>
    </row>
    <row r="44" spans="5:10" ht="15" customHeight="1" x14ac:dyDescent="0.35">
      <c r="E44" s="65"/>
      <c r="J44" s="2" t="str">
        <f t="shared" si="1"/>
        <v/>
      </c>
    </row>
    <row r="45" spans="5:10" ht="15" customHeight="1" x14ac:dyDescent="0.35">
      <c r="E45" s="65"/>
      <c r="J45" s="2" t="str">
        <f t="shared" si="1"/>
        <v/>
      </c>
    </row>
    <row r="46" spans="5:10" ht="15" customHeight="1" x14ac:dyDescent="0.35">
      <c r="E46" s="65"/>
      <c r="J46" s="2" t="str">
        <f t="shared" si="1"/>
        <v/>
      </c>
    </row>
    <row r="47" spans="5:10" ht="15" customHeight="1" x14ac:dyDescent="0.35">
      <c r="E47" s="65"/>
      <c r="J47" s="2" t="str">
        <f t="shared" si="1"/>
        <v/>
      </c>
    </row>
    <row r="48" spans="5:10" ht="15" customHeight="1" x14ac:dyDescent="0.35">
      <c r="E48" s="65"/>
      <c r="J48" s="2" t="str">
        <f t="shared" si="1"/>
        <v/>
      </c>
    </row>
    <row r="49" spans="5:10" ht="15" customHeight="1" x14ac:dyDescent="0.35">
      <c r="E49" s="65"/>
      <c r="J49" s="2" t="str">
        <f t="shared" si="1"/>
        <v/>
      </c>
    </row>
    <row r="50" spans="5:10" ht="15" customHeight="1" x14ac:dyDescent="0.35">
      <c r="E50" s="65"/>
      <c r="J50" s="2" t="str">
        <f t="shared" si="1"/>
        <v/>
      </c>
    </row>
    <row r="51" spans="5:10" ht="15" customHeight="1" x14ac:dyDescent="0.35">
      <c r="E51" s="65"/>
      <c r="J51" s="2" t="str">
        <f t="shared" si="1"/>
        <v/>
      </c>
    </row>
    <row r="52" spans="5:10" ht="15" customHeight="1" x14ac:dyDescent="0.35">
      <c r="E52" s="65"/>
      <c r="J52" s="2" t="str">
        <f t="shared" si="1"/>
        <v/>
      </c>
    </row>
    <row r="53" spans="5:10" ht="15" customHeight="1" x14ac:dyDescent="0.35">
      <c r="E53" s="65"/>
      <c r="J53" s="2" t="str">
        <f t="shared" si="1"/>
        <v/>
      </c>
    </row>
    <row r="54" spans="5:10" ht="15" customHeight="1" x14ac:dyDescent="0.35">
      <c r="E54" s="65"/>
      <c r="J54" s="2" t="str">
        <f t="shared" si="1"/>
        <v/>
      </c>
    </row>
    <row r="55" spans="5:10" ht="15" customHeight="1" x14ac:dyDescent="0.35">
      <c r="E55" s="65"/>
      <c r="J55" s="2" t="str">
        <f t="shared" si="1"/>
        <v/>
      </c>
    </row>
    <row r="56" spans="5:10" ht="15" customHeight="1" x14ac:dyDescent="0.35">
      <c r="E56" s="65"/>
      <c r="J56" s="2" t="str">
        <f t="shared" si="1"/>
        <v/>
      </c>
    </row>
    <row r="57" spans="5:10" ht="15" customHeight="1" x14ac:dyDescent="0.35">
      <c r="E57" s="65"/>
      <c r="J57" s="2" t="str">
        <f t="shared" si="1"/>
        <v/>
      </c>
    </row>
    <row r="58" spans="5:10" ht="15" customHeight="1" x14ac:dyDescent="0.35">
      <c r="E58" s="65"/>
      <c r="J58" s="2" t="str">
        <f t="shared" si="1"/>
        <v/>
      </c>
    </row>
    <row r="59" spans="5:10" ht="15" customHeight="1" x14ac:dyDescent="0.35">
      <c r="E59" s="65"/>
      <c r="J59" s="2" t="str">
        <f t="shared" si="1"/>
        <v/>
      </c>
    </row>
    <row r="60" spans="5:10" ht="15" customHeight="1" x14ac:dyDescent="0.35">
      <c r="E60" s="65"/>
      <c r="J60" s="2" t="str">
        <f t="shared" si="1"/>
        <v/>
      </c>
    </row>
    <row r="61" spans="5:10" ht="15" customHeight="1" x14ac:dyDescent="0.35">
      <c r="E61" s="65"/>
      <c r="J61" s="2" t="str">
        <f t="shared" si="1"/>
        <v/>
      </c>
    </row>
    <row r="62" spans="5:10" ht="15" customHeight="1" x14ac:dyDescent="0.35">
      <c r="E62" s="65"/>
      <c r="J62" s="2" t="str">
        <f t="shared" si="1"/>
        <v/>
      </c>
    </row>
    <row r="63" spans="5:10" ht="15" customHeight="1" x14ac:dyDescent="0.35">
      <c r="E63" s="65"/>
      <c r="J63" s="2" t="str">
        <f t="shared" si="1"/>
        <v/>
      </c>
    </row>
    <row r="64" spans="5:10" ht="15" customHeight="1" x14ac:dyDescent="0.35">
      <c r="E64" s="65"/>
      <c r="J64" s="2" t="str">
        <f t="shared" si="1"/>
        <v/>
      </c>
    </row>
    <row r="65" spans="5:10" ht="15" customHeight="1" x14ac:dyDescent="0.35">
      <c r="E65" s="65"/>
      <c r="J65" s="2" t="str">
        <f t="shared" si="1"/>
        <v/>
      </c>
    </row>
    <row r="66" spans="5:10" ht="15" customHeight="1" x14ac:dyDescent="0.35">
      <c r="E66" s="65"/>
      <c r="J66" s="2" t="str">
        <f t="shared" si="1"/>
        <v/>
      </c>
    </row>
    <row r="67" spans="5:10" ht="15" customHeight="1" x14ac:dyDescent="0.35">
      <c r="E67" s="65"/>
      <c r="J67" s="2" t="str">
        <f t="shared" si="1"/>
        <v/>
      </c>
    </row>
    <row r="68" spans="5:10" ht="15" customHeight="1" x14ac:dyDescent="0.35">
      <c r="E68" s="65"/>
      <c r="J68" s="2" t="str">
        <f t="shared" ref="J68:J99" si="2">IF($A68="","",IF(OR($A68="",$I68=""),"Missing required field",IF(AND($G68&lt;&gt;"",ISERROR(FIND("@",$G68))),"Invalid email format",IF(COUNTIF($A$4:$A$200,$A68)&gt;1,"Duplicate customer name","OK"))))</f>
        <v/>
      </c>
    </row>
    <row r="69" spans="5:10" ht="15" customHeight="1" x14ac:dyDescent="0.35">
      <c r="E69" s="65"/>
      <c r="J69" s="2" t="str">
        <f t="shared" si="2"/>
        <v/>
      </c>
    </row>
    <row r="70" spans="5:10" ht="15" customHeight="1" x14ac:dyDescent="0.35">
      <c r="E70" s="65"/>
      <c r="J70" s="2" t="str">
        <f t="shared" si="2"/>
        <v/>
      </c>
    </row>
    <row r="71" spans="5:10" ht="15" customHeight="1" x14ac:dyDescent="0.35">
      <c r="E71" s="65"/>
      <c r="J71" s="2" t="str">
        <f t="shared" si="2"/>
        <v/>
      </c>
    </row>
    <row r="72" spans="5:10" ht="15" customHeight="1" x14ac:dyDescent="0.35">
      <c r="E72" s="65"/>
      <c r="J72" s="2" t="str">
        <f t="shared" si="2"/>
        <v/>
      </c>
    </row>
    <row r="73" spans="5:10" ht="15" customHeight="1" x14ac:dyDescent="0.35">
      <c r="E73" s="65"/>
      <c r="J73" s="2" t="str">
        <f t="shared" si="2"/>
        <v/>
      </c>
    </row>
    <row r="74" spans="5:10" ht="15" customHeight="1" x14ac:dyDescent="0.35">
      <c r="E74" s="65"/>
      <c r="J74" s="2" t="str">
        <f t="shared" si="2"/>
        <v/>
      </c>
    </row>
    <row r="75" spans="5:10" ht="15" customHeight="1" x14ac:dyDescent="0.35">
      <c r="E75" s="65"/>
      <c r="J75" s="2" t="str">
        <f t="shared" si="2"/>
        <v/>
      </c>
    </row>
    <row r="76" spans="5:10" ht="15" customHeight="1" x14ac:dyDescent="0.35">
      <c r="E76" s="65"/>
      <c r="J76" s="2" t="str">
        <f t="shared" si="2"/>
        <v/>
      </c>
    </row>
    <row r="77" spans="5:10" ht="15" customHeight="1" x14ac:dyDescent="0.35">
      <c r="E77" s="65"/>
      <c r="J77" s="2" t="str">
        <f t="shared" si="2"/>
        <v/>
      </c>
    </row>
    <row r="78" spans="5:10" ht="15" customHeight="1" x14ac:dyDescent="0.35">
      <c r="E78" s="65"/>
      <c r="J78" s="2" t="str">
        <f t="shared" si="2"/>
        <v/>
      </c>
    </row>
    <row r="79" spans="5:10" ht="15" customHeight="1" x14ac:dyDescent="0.35">
      <c r="E79" s="65"/>
      <c r="J79" s="2" t="str">
        <f t="shared" si="2"/>
        <v/>
      </c>
    </row>
    <row r="80" spans="5:10" ht="15" customHeight="1" x14ac:dyDescent="0.35">
      <c r="E80" s="65"/>
      <c r="J80" s="2" t="str">
        <f t="shared" si="2"/>
        <v/>
      </c>
    </row>
    <row r="81" spans="5:10" ht="15" customHeight="1" x14ac:dyDescent="0.35">
      <c r="E81" s="65"/>
      <c r="J81" s="2" t="str">
        <f t="shared" si="2"/>
        <v/>
      </c>
    </row>
    <row r="82" spans="5:10" ht="15" customHeight="1" x14ac:dyDescent="0.35">
      <c r="E82" s="65"/>
      <c r="J82" s="2" t="str">
        <f t="shared" si="2"/>
        <v/>
      </c>
    </row>
    <row r="83" spans="5:10" ht="15" customHeight="1" x14ac:dyDescent="0.35">
      <c r="E83" s="65"/>
      <c r="J83" s="2" t="str">
        <f t="shared" si="2"/>
        <v/>
      </c>
    </row>
    <row r="84" spans="5:10" ht="15" customHeight="1" x14ac:dyDescent="0.35">
      <c r="E84" s="65"/>
      <c r="J84" s="2" t="str">
        <f t="shared" si="2"/>
        <v/>
      </c>
    </row>
    <row r="85" spans="5:10" ht="15" customHeight="1" x14ac:dyDescent="0.35">
      <c r="E85" s="65"/>
      <c r="J85" s="2" t="str">
        <f t="shared" si="2"/>
        <v/>
      </c>
    </row>
    <row r="86" spans="5:10" ht="15" customHeight="1" x14ac:dyDescent="0.35">
      <c r="E86" s="65"/>
      <c r="J86" s="2" t="str">
        <f t="shared" si="2"/>
        <v/>
      </c>
    </row>
    <row r="87" spans="5:10" ht="15" customHeight="1" x14ac:dyDescent="0.35">
      <c r="E87" s="65"/>
      <c r="J87" s="2" t="str">
        <f t="shared" si="2"/>
        <v/>
      </c>
    </row>
    <row r="88" spans="5:10" ht="15" customHeight="1" x14ac:dyDescent="0.35">
      <c r="E88" s="65"/>
      <c r="J88" s="2" t="str">
        <f t="shared" si="2"/>
        <v/>
      </c>
    </row>
    <row r="89" spans="5:10" ht="15" customHeight="1" x14ac:dyDescent="0.35">
      <c r="E89" s="65"/>
      <c r="J89" s="2" t="str">
        <f t="shared" si="2"/>
        <v/>
      </c>
    </row>
    <row r="90" spans="5:10" ht="15" customHeight="1" x14ac:dyDescent="0.35">
      <c r="E90" s="65"/>
      <c r="J90" s="2" t="str">
        <f t="shared" si="2"/>
        <v/>
      </c>
    </row>
    <row r="91" spans="5:10" ht="15" customHeight="1" x14ac:dyDescent="0.35">
      <c r="E91" s="65"/>
      <c r="J91" s="2" t="str">
        <f t="shared" si="2"/>
        <v/>
      </c>
    </row>
    <row r="92" spans="5:10" ht="15" customHeight="1" x14ac:dyDescent="0.35">
      <c r="E92" s="65"/>
      <c r="J92" s="2" t="str">
        <f t="shared" si="2"/>
        <v/>
      </c>
    </row>
    <row r="93" spans="5:10" ht="15" customHeight="1" x14ac:dyDescent="0.35">
      <c r="E93" s="65"/>
      <c r="J93" s="2" t="str">
        <f t="shared" si="2"/>
        <v/>
      </c>
    </row>
    <row r="94" spans="5:10" ht="15" customHeight="1" x14ac:dyDescent="0.35">
      <c r="E94" s="65"/>
      <c r="J94" s="2" t="str">
        <f t="shared" si="2"/>
        <v/>
      </c>
    </row>
    <row r="95" spans="5:10" ht="15" customHeight="1" x14ac:dyDescent="0.35">
      <c r="E95" s="65"/>
      <c r="J95" s="2" t="str">
        <f t="shared" si="2"/>
        <v/>
      </c>
    </row>
    <row r="96" spans="5:10" ht="15" customHeight="1" x14ac:dyDescent="0.35">
      <c r="E96" s="65"/>
      <c r="J96" s="2" t="str">
        <f t="shared" si="2"/>
        <v/>
      </c>
    </row>
    <row r="97" spans="5:10" ht="15" customHeight="1" x14ac:dyDescent="0.35">
      <c r="E97" s="65"/>
      <c r="J97" s="2" t="str">
        <f t="shared" si="2"/>
        <v/>
      </c>
    </row>
    <row r="98" spans="5:10" ht="15" customHeight="1" x14ac:dyDescent="0.35">
      <c r="E98" s="65"/>
      <c r="J98" s="2" t="str">
        <f t="shared" si="2"/>
        <v/>
      </c>
    </row>
    <row r="99" spans="5:10" ht="15" customHeight="1" x14ac:dyDescent="0.35">
      <c r="E99" s="65"/>
      <c r="J99" s="2" t="str">
        <f t="shared" si="2"/>
        <v/>
      </c>
    </row>
    <row r="100" spans="5:10" ht="15" customHeight="1" x14ac:dyDescent="0.35">
      <c r="E100" s="65"/>
      <c r="J100" s="2" t="str">
        <f t="shared" ref="J100:J131" si="3">IF($A100="","",IF(OR($A100="",$I100=""),"Missing required field",IF(AND($G100&lt;&gt;"",ISERROR(FIND("@",$G100))),"Invalid email format",IF(COUNTIF($A$4:$A$200,$A100)&gt;1,"Duplicate customer name","OK"))))</f>
        <v/>
      </c>
    </row>
    <row r="101" spans="5:10" ht="15" customHeight="1" x14ac:dyDescent="0.35">
      <c r="E101" s="65"/>
      <c r="J101" s="2" t="str">
        <f t="shared" si="3"/>
        <v/>
      </c>
    </row>
    <row r="102" spans="5:10" ht="15" customHeight="1" x14ac:dyDescent="0.35">
      <c r="E102" s="65"/>
      <c r="J102" s="2" t="str">
        <f t="shared" si="3"/>
        <v/>
      </c>
    </row>
    <row r="103" spans="5:10" ht="15" customHeight="1" x14ac:dyDescent="0.35">
      <c r="E103" s="65"/>
      <c r="J103" s="2" t="str">
        <f t="shared" si="3"/>
        <v/>
      </c>
    </row>
    <row r="104" spans="5:10" ht="15" customHeight="1" x14ac:dyDescent="0.35">
      <c r="E104" s="65"/>
      <c r="J104" s="2" t="str">
        <f t="shared" si="3"/>
        <v/>
      </c>
    </row>
    <row r="105" spans="5:10" ht="15" customHeight="1" x14ac:dyDescent="0.35">
      <c r="E105" s="65"/>
      <c r="J105" s="2" t="str">
        <f t="shared" si="3"/>
        <v/>
      </c>
    </row>
    <row r="106" spans="5:10" ht="15" customHeight="1" x14ac:dyDescent="0.35">
      <c r="E106" s="65"/>
      <c r="J106" s="2" t="str">
        <f t="shared" si="3"/>
        <v/>
      </c>
    </row>
    <row r="107" spans="5:10" ht="15" customHeight="1" x14ac:dyDescent="0.35">
      <c r="E107" s="65"/>
      <c r="J107" s="2" t="str">
        <f t="shared" si="3"/>
        <v/>
      </c>
    </row>
    <row r="108" spans="5:10" ht="15" customHeight="1" x14ac:dyDescent="0.35">
      <c r="E108" s="65"/>
      <c r="J108" s="2" t="str">
        <f t="shared" si="3"/>
        <v/>
      </c>
    </row>
    <row r="109" spans="5:10" ht="15" customHeight="1" x14ac:dyDescent="0.35">
      <c r="E109" s="65"/>
      <c r="J109" s="2" t="str">
        <f t="shared" si="3"/>
        <v/>
      </c>
    </row>
    <row r="110" spans="5:10" ht="15" customHeight="1" x14ac:dyDescent="0.35">
      <c r="E110" s="65"/>
      <c r="J110" s="2" t="str">
        <f t="shared" si="3"/>
        <v/>
      </c>
    </row>
    <row r="111" spans="5:10" ht="15" customHeight="1" x14ac:dyDescent="0.35">
      <c r="E111" s="65"/>
      <c r="J111" s="2" t="str">
        <f t="shared" si="3"/>
        <v/>
      </c>
    </row>
    <row r="112" spans="5:10" ht="15" customHeight="1" x14ac:dyDescent="0.35">
      <c r="E112" s="65"/>
      <c r="J112" s="2" t="str">
        <f t="shared" si="3"/>
        <v/>
      </c>
    </row>
    <row r="113" spans="5:10" ht="15" customHeight="1" x14ac:dyDescent="0.35">
      <c r="E113" s="65"/>
      <c r="J113" s="2" t="str">
        <f t="shared" si="3"/>
        <v/>
      </c>
    </row>
    <row r="114" spans="5:10" ht="15" customHeight="1" x14ac:dyDescent="0.35">
      <c r="E114" s="65"/>
      <c r="J114" s="2" t="str">
        <f t="shared" si="3"/>
        <v/>
      </c>
    </row>
    <row r="115" spans="5:10" ht="15" customHeight="1" x14ac:dyDescent="0.35">
      <c r="E115" s="65"/>
      <c r="J115" s="2" t="str">
        <f t="shared" si="3"/>
        <v/>
      </c>
    </row>
    <row r="116" spans="5:10" ht="15" customHeight="1" x14ac:dyDescent="0.35">
      <c r="E116" s="65"/>
      <c r="J116" s="2" t="str">
        <f t="shared" si="3"/>
        <v/>
      </c>
    </row>
    <row r="117" spans="5:10" ht="15" customHeight="1" x14ac:dyDescent="0.35">
      <c r="E117" s="65"/>
      <c r="J117" s="2" t="str">
        <f t="shared" si="3"/>
        <v/>
      </c>
    </row>
    <row r="118" spans="5:10" ht="15" customHeight="1" x14ac:dyDescent="0.35">
      <c r="E118" s="65"/>
      <c r="J118" s="2" t="str">
        <f t="shared" si="3"/>
        <v/>
      </c>
    </row>
    <row r="119" spans="5:10" ht="15" customHeight="1" x14ac:dyDescent="0.35">
      <c r="E119" s="65"/>
      <c r="J119" s="2" t="str">
        <f t="shared" si="3"/>
        <v/>
      </c>
    </row>
    <row r="120" spans="5:10" ht="15" customHeight="1" x14ac:dyDescent="0.35">
      <c r="E120" s="65"/>
      <c r="J120" s="2" t="str">
        <f t="shared" si="3"/>
        <v/>
      </c>
    </row>
    <row r="121" spans="5:10" ht="15" customHeight="1" x14ac:dyDescent="0.35">
      <c r="E121" s="65"/>
      <c r="J121" s="2" t="str">
        <f t="shared" si="3"/>
        <v/>
      </c>
    </row>
    <row r="122" spans="5:10" ht="15" customHeight="1" x14ac:dyDescent="0.35">
      <c r="E122" s="65"/>
      <c r="J122" s="2" t="str">
        <f t="shared" si="3"/>
        <v/>
      </c>
    </row>
    <row r="123" spans="5:10" ht="15" customHeight="1" x14ac:dyDescent="0.35">
      <c r="E123" s="65"/>
      <c r="J123" s="2" t="str">
        <f t="shared" si="3"/>
        <v/>
      </c>
    </row>
    <row r="124" spans="5:10" ht="15" customHeight="1" x14ac:dyDescent="0.35">
      <c r="E124" s="65"/>
      <c r="J124" s="2" t="str">
        <f t="shared" si="3"/>
        <v/>
      </c>
    </row>
    <row r="125" spans="5:10" ht="15" customHeight="1" x14ac:dyDescent="0.35">
      <c r="E125" s="65"/>
      <c r="J125" s="2" t="str">
        <f t="shared" si="3"/>
        <v/>
      </c>
    </row>
    <row r="126" spans="5:10" ht="15" customHeight="1" x14ac:dyDescent="0.35">
      <c r="E126" s="65"/>
      <c r="J126" s="2" t="str">
        <f t="shared" si="3"/>
        <v/>
      </c>
    </row>
    <row r="127" spans="5:10" ht="15" customHeight="1" x14ac:dyDescent="0.35">
      <c r="E127" s="65"/>
      <c r="J127" s="2" t="str">
        <f t="shared" si="3"/>
        <v/>
      </c>
    </row>
    <row r="128" spans="5:10" ht="15" customHeight="1" x14ac:dyDescent="0.35">
      <c r="E128" s="65"/>
      <c r="J128" s="2" t="str">
        <f t="shared" si="3"/>
        <v/>
      </c>
    </row>
    <row r="129" spans="5:10" ht="15" customHeight="1" x14ac:dyDescent="0.35">
      <c r="E129" s="65"/>
      <c r="J129" s="2" t="str">
        <f t="shared" si="3"/>
        <v/>
      </c>
    </row>
    <row r="130" spans="5:10" ht="15" customHeight="1" x14ac:dyDescent="0.35">
      <c r="E130" s="65"/>
      <c r="J130" s="2" t="str">
        <f t="shared" si="3"/>
        <v/>
      </c>
    </row>
    <row r="131" spans="5:10" ht="15" customHeight="1" x14ac:dyDescent="0.35">
      <c r="E131" s="65"/>
      <c r="J131" s="2" t="str">
        <f t="shared" si="3"/>
        <v/>
      </c>
    </row>
    <row r="132" spans="5:10" ht="15" customHeight="1" x14ac:dyDescent="0.35">
      <c r="E132" s="65"/>
      <c r="J132" s="2" t="str">
        <f t="shared" ref="J132:J163" si="4">IF($A132="","",IF(OR($A132="",$I132=""),"Missing required field",IF(AND($G132&lt;&gt;"",ISERROR(FIND("@",$G132))),"Invalid email format",IF(COUNTIF($A$4:$A$200,$A132)&gt;1,"Duplicate customer name","OK"))))</f>
        <v/>
      </c>
    </row>
    <row r="133" spans="5:10" ht="15" customHeight="1" x14ac:dyDescent="0.35">
      <c r="E133" s="65"/>
      <c r="J133" s="2" t="str">
        <f t="shared" si="4"/>
        <v/>
      </c>
    </row>
    <row r="134" spans="5:10" ht="15" customHeight="1" x14ac:dyDescent="0.35">
      <c r="E134" s="65"/>
      <c r="J134" s="2" t="str">
        <f t="shared" si="4"/>
        <v/>
      </c>
    </row>
    <row r="135" spans="5:10" ht="15" customHeight="1" x14ac:dyDescent="0.35">
      <c r="E135" s="65"/>
      <c r="J135" s="2" t="str">
        <f t="shared" si="4"/>
        <v/>
      </c>
    </row>
    <row r="136" spans="5:10" ht="15" customHeight="1" x14ac:dyDescent="0.35">
      <c r="E136" s="65"/>
      <c r="J136" s="2" t="str">
        <f t="shared" si="4"/>
        <v/>
      </c>
    </row>
    <row r="137" spans="5:10" ht="15" customHeight="1" x14ac:dyDescent="0.35">
      <c r="E137" s="65"/>
      <c r="J137" s="2" t="str">
        <f t="shared" si="4"/>
        <v/>
      </c>
    </row>
    <row r="138" spans="5:10" ht="15" customHeight="1" x14ac:dyDescent="0.35">
      <c r="E138" s="65"/>
      <c r="J138" s="2" t="str">
        <f t="shared" si="4"/>
        <v/>
      </c>
    </row>
    <row r="139" spans="5:10" ht="15" customHeight="1" x14ac:dyDescent="0.35">
      <c r="E139" s="65"/>
      <c r="J139" s="2" t="str">
        <f t="shared" si="4"/>
        <v/>
      </c>
    </row>
    <row r="140" spans="5:10" ht="15" customHeight="1" x14ac:dyDescent="0.35">
      <c r="E140" s="65"/>
      <c r="J140" s="2" t="str">
        <f t="shared" si="4"/>
        <v/>
      </c>
    </row>
    <row r="141" spans="5:10" ht="15" customHeight="1" x14ac:dyDescent="0.35">
      <c r="E141" s="65"/>
      <c r="J141" s="2" t="str">
        <f t="shared" si="4"/>
        <v/>
      </c>
    </row>
    <row r="142" spans="5:10" ht="15" customHeight="1" x14ac:dyDescent="0.35">
      <c r="E142" s="65"/>
      <c r="J142" s="2" t="str">
        <f t="shared" si="4"/>
        <v/>
      </c>
    </row>
    <row r="143" spans="5:10" ht="15" customHeight="1" x14ac:dyDescent="0.35">
      <c r="E143" s="65"/>
      <c r="J143" s="2" t="str">
        <f t="shared" si="4"/>
        <v/>
      </c>
    </row>
    <row r="144" spans="5:10" ht="15" customHeight="1" x14ac:dyDescent="0.35">
      <c r="E144" s="65"/>
      <c r="J144" s="2" t="str">
        <f t="shared" si="4"/>
        <v/>
      </c>
    </row>
    <row r="145" spans="5:10" ht="15" customHeight="1" x14ac:dyDescent="0.35">
      <c r="E145" s="65"/>
      <c r="J145" s="2" t="str">
        <f t="shared" si="4"/>
        <v/>
      </c>
    </row>
    <row r="146" spans="5:10" ht="15" customHeight="1" x14ac:dyDescent="0.35">
      <c r="E146" s="65"/>
      <c r="J146" s="2" t="str">
        <f t="shared" si="4"/>
        <v/>
      </c>
    </row>
    <row r="147" spans="5:10" ht="15" customHeight="1" x14ac:dyDescent="0.35">
      <c r="E147" s="65"/>
      <c r="J147" s="2" t="str">
        <f t="shared" si="4"/>
        <v/>
      </c>
    </row>
    <row r="148" spans="5:10" ht="15" customHeight="1" x14ac:dyDescent="0.35">
      <c r="E148" s="65"/>
      <c r="J148" s="2" t="str">
        <f t="shared" si="4"/>
        <v/>
      </c>
    </row>
    <row r="149" spans="5:10" ht="15" customHeight="1" x14ac:dyDescent="0.35">
      <c r="E149" s="65"/>
      <c r="J149" s="2" t="str">
        <f t="shared" si="4"/>
        <v/>
      </c>
    </row>
    <row r="150" spans="5:10" ht="15" customHeight="1" x14ac:dyDescent="0.35">
      <c r="E150" s="65"/>
      <c r="J150" s="2" t="str">
        <f t="shared" si="4"/>
        <v/>
      </c>
    </row>
    <row r="151" spans="5:10" ht="15" customHeight="1" x14ac:dyDescent="0.35">
      <c r="E151" s="65"/>
      <c r="J151" s="2" t="str">
        <f t="shared" si="4"/>
        <v/>
      </c>
    </row>
    <row r="152" spans="5:10" ht="15" customHeight="1" x14ac:dyDescent="0.35">
      <c r="E152" s="65"/>
      <c r="J152" s="2" t="str">
        <f t="shared" si="4"/>
        <v/>
      </c>
    </row>
    <row r="153" spans="5:10" ht="15" customHeight="1" x14ac:dyDescent="0.35">
      <c r="E153" s="65"/>
      <c r="J153" s="2" t="str">
        <f t="shared" si="4"/>
        <v/>
      </c>
    </row>
    <row r="154" spans="5:10" ht="15" customHeight="1" x14ac:dyDescent="0.35">
      <c r="E154" s="65"/>
      <c r="J154" s="2" t="str">
        <f t="shared" si="4"/>
        <v/>
      </c>
    </row>
    <row r="155" spans="5:10" ht="15" customHeight="1" x14ac:dyDescent="0.35">
      <c r="E155" s="65"/>
      <c r="J155" s="2" t="str">
        <f t="shared" si="4"/>
        <v/>
      </c>
    </row>
    <row r="156" spans="5:10" ht="15" customHeight="1" x14ac:dyDescent="0.35">
      <c r="E156" s="65"/>
      <c r="J156" s="2" t="str">
        <f t="shared" si="4"/>
        <v/>
      </c>
    </row>
    <row r="157" spans="5:10" ht="15" customHeight="1" x14ac:dyDescent="0.35">
      <c r="E157" s="65"/>
      <c r="J157" s="2" t="str">
        <f t="shared" si="4"/>
        <v/>
      </c>
    </row>
    <row r="158" spans="5:10" ht="15" customHeight="1" x14ac:dyDescent="0.35">
      <c r="E158" s="65"/>
      <c r="J158" s="2" t="str">
        <f t="shared" si="4"/>
        <v/>
      </c>
    </row>
    <row r="159" spans="5:10" ht="15" customHeight="1" x14ac:dyDescent="0.35">
      <c r="E159" s="65"/>
      <c r="J159" s="2" t="str">
        <f t="shared" si="4"/>
        <v/>
      </c>
    </row>
    <row r="160" spans="5:10" ht="15" customHeight="1" x14ac:dyDescent="0.35">
      <c r="E160" s="65"/>
      <c r="J160" s="2" t="str">
        <f t="shared" si="4"/>
        <v/>
      </c>
    </row>
    <row r="161" spans="5:10" ht="15" customHeight="1" x14ac:dyDescent="0.35">
      <c r="E161" s="65"/>
      <c r="J161" s="2" t="str">
        <f t="shared" si="4"/>
        <v/>
      </c>
    </row>
    <row r="162" spans="5:10" ht="15" customHeight="1" x14ac:dyDescent="0.35">
      <c r="E162" s="65"/>
      <c r="J162" s="2" t="str">
        <f t="shared" si="4"/>
        <v/>
      </c>
    </row>
    <row r="163" spans="5:10" ht="15" customHeight="1" x14ac:dyDescent="0.35">
      <c r="E163" s="65"/>
      <c r="J163" s="2" t="str">
        <f t="shared" si="4"/>
        <v/>
      </c>
    </row>
    <row r="164" spans="5:10" ht="15" customHeight="1" x14ac:dyDescent="0.35">
      <c r="E164" s="65"/>
      <c r="J164" s="2" t="str">
        <f t="shared" ref="J164:J200" si="5">IF($A164="","",IF(OR($A164="",$I164=""),"Missing required field",IF(AND($G164&lt;&gt;"",ISERROR(FIND("@",$G164))),"Invalid email format",IF(COUNTIF($A$4:$A$200,$A164)&gt;1,"Duplicate customer name","OK"))))</f>
        <v/>
      </c>
    </row>
    <row r="165" spans="5:10" ht="15" customHeight="1" x14ac:dyDescent="0.35">
      <c r="E165" s="65"/>
      <c r="J165" s="2" t="str">
        <f t="shared" si="5"/>
        <v/>
      </c>
    </row>
    <row r="166" spans="5:10" ht="15" customHeight="1" x14ac:dyDescent="0.35">
      <c r="E166" s="65"/>
      <c r="J166" s="2" t="str">
        <f t="shared" si="5"/>
        <v/>
      </c>
    </row>
    <row r="167" spans="5:10" ht="15" customHeight="1" x14ac:dyDescent="0.35">
      <c r="E167" s="65"/>
      <c r="J167" s="2" t="str">
        <f t="shared" si="5"/>
        <v/>
      </c>
    </row>
    <row r="168" spans="5:10" ht="15" customHeight="1" x14ac:dyDescent="0.35">
      <c r="E168" s="65"/>
      <c r="J168" s="2" t="str">
        <f t="shared" si="5"/>
        <v/>
      </c>
    </row>
    <row r="169" spans="5:10" ht="15" customHeight="1" x14ac:dyDescent="0.35">
      <c r="E169" s="65"/>
      <c r="J169" s="2" t="str">
        <f t="shared" si="5"/>
        <v/>
      </c>
    </row>
    <row r="170" spans="5:10" ht="15" customHeight="1" x14ac:dyDescent="0.35">
      <c r="E170" s="65"/>
      <c r="J170" s="2" t="str">
        <f t="shared" si="5"/>
        <v/>
      </c>
    </row>
    <row r="171" spans="5:10" ht="15" customHeight="1" x14ac:dyDescent="0.35">
      <c r="E171" s="65"/>
      <c r="J171" s="2" t="str">
        <f t="shared" si="5"/>
        <v/>
      </c>
    </row>
    <row r="172" spans="5:10" ht="15" customHeight="1" x14ac:dyDescent="0.35">
      <c r="E172" s="65"/>
      <c r="J172" s="2" t="str">
        <f t="shared" si="5"/>
        <v/>
      </c>
    </row>
    <row r="173" spans="5:10" ht="15" customHeight="1" x14ac:dyDescent="0.35">
      <c r="E173" s="65"/>
      <c r="J173" s="2" t="str">
        <f t="shared" si="5"/>
        <v/>
      </c>
    </row>
    <row r="174" spans="5:10" ht="15" customHeight="1" x14ac:dyDescent="0.35">
      <c r="E174" s="65"/>
      <c r="J174" s="2" t="str">
        <f t="shared" si="5"/>
        <v/>
      </c>
    </row>
    <row r="175" spans="5:10" ht="15" customHeight="1" x14ac:dyDescent="0.35">
      <c r="E175" s="65"/>
      <c r="J175" s="2" t="str">
        <f t="shared" si="5"/>
        <v/>
      </c>
    </row>
    <row r="176" spans="5:10" ht="15" customHeight="1" x14ac:dyDescent="0.35">
      <c r="E176" s="65"/>
      <c r="J176" s="2" t="str">
        <f t="shared" si="5"/>
        <v/>
      </c>
    </row>
    <row r="177" spans="5:10" ht="15" customHeight="1" x14ac:dyDescent="0.35">
      <c r="E177" s="65"/>
      <c r="J177" s="2" t="str">
        <f t="shared" si="5"/>
        <v/>
      </c>
    </row>
    <row r="178" spans="5:10" ht="15" customHeight="1" x14ac:dyDescent="0.35">
      <c r="E178" s="65"/>
      <c r="J178" s="2" t="str">
        <f t="shared" si="5"/>
        <v/>
      </c>
    </row>
    <row r="179" spans="5:10" ht="15" customHeight="1" x14ac:dyDescent="0.35">
      <c r="E179" s="65"/>
      <c r="J179" s="2" t="str">
        <f t="shared" si="5"/>
        <v/>
      </c>
    </row>
    <row r="180" spans="5:10" ht="15" customHeight="1" x14ac:dyDescent="0.35">
      <c r="E180" s="65"/>
      <c r="J180" s="2" t="str">
        <f t="shared" si="5"/>
        <v/>
      </c>
    </row>
    <row r="181" spans="5:10" ht="15" customHeight="1" x14ac:dyDescent="0.35">
      <c r="E181" s="65"/>
      <c r="J181" s="2" t="str">
        <f t="shared" si="5"/>
        <v/>
      </c>
    </row>
    <row r="182" spans="5:10" ht="15" customHeight="1" x14ac:dyDescent="0.35">
      <c r="E182" s="65"/>
      <c r="J182" s="2" t="str">
        <f t="shared" si="5"/>
        <v/>
      </c>
    </row>
    <row r="183" spans="5:10" ht="15" customHeight="1" x14ac:dyDescent="0.35">
      <c r="E183" s="65"/>
      <c r="J183" s="2" t="str">
        <f t="shared" si="5"/>
        <v/>
      </c>
    </row>
    <row r="184" spans="5:10" ht="15" customHeight="1" x14ac:dyDescent="0.35">
      <c r="E184" s="65"/>
      <c r="J184" s="2" t="str">
        <f t="shared" si="5"/>
        <v/>
      </c>
    </row>
    <row r="185" spans="5:10" ht="15" customHeight="1" x14ac:dyDescent="0.35">
      <c r="E185" s="65"/>
      <c r="J185" s="2" t="str">
        <f t="shared" si="5"/>
        <v/>
      </c>
    </row>
    <row r="186" spans="5:10" ht="15" customHeight="1" x14ac:dyDescent="0.35">
      <c r="E186" s="65"/>
      <c r="J186" s="2" t="str">
        <f t="shared" si="5"/>
        <v/>
      </c>
    </row>
    <row r="187" spans="5:10" ht="15" customHeight="1" x14ac:dyDescent="0.35">
      <c r="E187" s="65"/>
      <c r="J187" s="2" t="str">
        <f t="shared" si="5"/>
        <v/>
      </c>
    </row>
    <row r="188" spans="5:10" ht="15" customHeight="1" x14ac:dyDescent="0.35">
      <c r="E188" s="65"/>
      <c r="J188" s="2" t="str">
        <f t="shared" si="5"/>
        <v/>
      </c>
    </row>
    <row r="189" spans="5:10" ht="15" customHeight="1" x14ac:dyDescent="0.35">
      <c r="E189" s="65"/>
      <c r="J189" s="2" t="str">
        <f t="shared" si="5"/>
        <v/>
      </c>
    </row>
    <row r="190" spans="5:10" ht="15" customHeight="1" x14ac:dyDescent="0.35">
      <c r="E190" s="65"/>
      <c r="J190" s="2" t="str">
        <f t="shared" si="5"/>
        <v/>
      </c>
    </row>
    <row r="191" spans="5:10" ht="15" customHeight="1" x14ac:dyDescent="0.35">
      <c r="E191" s="65"/>
      <c r="J191" s="2" t="str">
        <f t="shared" si="5"/>
        <v/>
      </c>
    </row>
    <row r="192" spans="5:10" ht="15" customHeight="1" x14ac:dyDescent="0.35">
      <c r="E192" s="65"/>
      <c r="J192" s="2" t="str">
        <f t="shared" si="5"/>
        <v/>
      </c>
    </row>
    <row r="193" spans="5:10" ht="15" customHeight="1" x14ac:dyDescent="0.35">
      <c r="E193" s="65"/>
      <c r="J193" s="2" t="str">
        <f t="shared" si="5"/>
        <v/>
      </c>
    </row>
    <row r="194" spans="5:10" ht="15" customHeight="1" x14ac:dyDescent="0.35">
      <c r="E194" s="65"/>
      <c r="J194" s="2" t="str">
        <f t="shared" si="5"/>
        <v/>
      </c>
    </row>
    <row r="195" spans="5:10" ht="15" customHeight="1" x14ac:dyDescent="0.35">
      <c r="E195" s="65"/>
      <c r="J195" s="2" t="str">
        <f t="shared" si="5"/>
        <v/>
      </c>
    </row>
    <row r="196" spans="5:10" ht="15" customHeight="1" x14ac:dyDescent="0.35">
      <c r="E196" s="65"/>
      <c r="J196" s="2" t="str">
        <f t="shared" si="5"/>
        <v/>
      </c>
    </row>
    <row r="197" spans="5:10" ht="15" customHeight="1" x14ac:dyDescent="0.35">
      <c r="E197" s="65"/>
      <c r="J197" s="2" t="str">
        <f t="shared" si="5"/>
        <v/>
      </c>
    </row>
    <row r="198" spans="5:10" ht="15" customHeight="1" x14ac:dyDescent="0.35">
      <c r="E198" s="65"/>
      <c r="J198" s="2" t="str">
        <f t="shared" si="5"/>
        <v/>
      </c>
    </row>
    <row r="199" spans="5:10" ht="15" customHeight="1" x14ac:dyDescent="0.35">
      <c r="E199" s="65"/>
      <c r="J199" s="2" t="str">
        <f t="shared" si="5"/>
        <v/>
      </c>
    </row>
    <row r="200" spans="5:10" ht="15" customHeight="1" x14ac:dyDescent="0.35">
      <c r="E200" s="65"/>
      <c r="J200" s="2" t="str">
        <f t="shared" si="5"/>
        <v/>
      </c>
    </row>
  </sheetData>
  <mergeCells count="2">
    <mergeCell ref="A1:H1"/>
    <mergeCell ref="A2:H2"/>
  </mergeCells>
  <conditionalFormatting sqref="J4:J200">
    <cfRule type="expression" dxfId="9" priority="2">
      <formula>AND(J4&lt;&gt;"",J4&lt;&gt;"OK")</formula>
    </cfRule>
    <cfRule type="expression" dxfId="8" priority="3">
      <formula>J4="OK"</formula>
    </cfRule>
  </conditionalFormatting>
  <dataValidations count="4">
    <dataValidation type="list" allowBlank="1" sqref="I4:I200" xr:uid="{00000000-0002-0000-0700-000000000000}">
      <formula1>BusinessGroupsList</formula1>
      <formula2>0</formula2>
    </dataValidation>
    <dataValidation type="list" allowBlank="1" sqref="C4:C200" xr:uid="{00000000-0002-0000-0700-000001000000}">
      <formula1>RegionsList</formula1>
      <formula2>0</formula2>
    </dataValidation>
    <dataValidation type="list" allowBlank="1" sqref="D4:D200" xr:uid="{00000000-0002-0000-0700-000002000000}">
      <formula1>OutletsList</formula1>
      <formula2>0</formula2>
    </dataValidation>
    <dataValidation type="custom" allowBlank="1" showErrorMessage="1" errorTitle="Invalid email" error="Email must contain an @ symbol, or leave blank." sqref="G4:G200" xr:uid="{00000000-0002-0000-0700-000003000000}">
      <formula1>OR(G4="",ISNUMBER(FIND("@",G4)))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0"/>
  <sheetViews>
    <sheetView topLeftCell="B1" workbookViewId="0">
      <selection activeCell="F10" sqref="F10"/>
    </sheetView>
  </sheetViews>
  <sheetFormatPr defaultColWidth="8.7265625" defaultRowHeight="14.5" x14ac:dyDescent="0.35"/>
  <cols>
    <col min="1" max="1" width="24" style="1" customWidth="1"/>
    <col min="2" max="2" width="18" style="1" customWidth="1"/>
    <col min="3" max="3" width="16" style="1" customWidth="1"/>
    <col min="4" max="4" width="14" style="1" customWidth="1"/>
    <col min="5" max="5" width="24" style="1" customWidth="1"/>
    <col min="6" max="6" width="22" style="1" customWidth="1"/>
    <col min="7" max="7" width="24" style="1" customWidth="1"/>
    <col min="8" max="8" width="20.1796875" style="1" customWidth="1"/>
    <col min="9" max="9" width="18.7265625" style="1" customWidth="1"/>
    <col min="10" max="10" width="34" style="1" customWidth="1"/>
    <col min="11" max="11" width="30" style="1" customWidth="1"/>
    <col min="12" max="12" width="26" style="1" customWidth="1"/>
    <col min="13" max="13" width="32" style="1" customWidth="1"/>
  </cols>
  <sheetData>
    <row r="1" spans="1:13" s="17" customFormat="1" ht="15" customHeight="1" x14ac:dyDescent="0.35">
      <c r="A1" s="52" t="s">
        <v>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15" customHeight="1" x14ac:dyDescent="0.35">
      <c r="A2" s="53" t="s">
        <v>141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s="19" customFormat="1" ht="15" customHeight="1" x14ac:dyDescent="0.35">
      <c r="A3" s="49" t="s">
        <v>142</v>
      </c>
      <c r="B3" s="49" t="s">
        <v>143</v>
      </c>
      <c r="C3" s="49" t="s">
        <v>89</v>
      </c>
      <c r="D3" s="49" t="s">
        <v>90</v>
      </c>
      <c r="E3" s="49" t="s">
        <v>136</v>
      </c>
      <c r="F3" s="49" t="s">
        <v>144</v>
      </c>
      <c r="G3" s="49" t="s">
        <v>145</v>
      </c>
      <c r="H3" s="49" t="s">
        <v>146</v>
      </c>
      <c r="I3" s="49" t="s">
        <v>147</v>
      </c>
      <c r="J3" s="49" t="s">
        <v>148</v>
      </c>
      <c r="K3" s="49" t="s">
        <v>97</v>
      </c>
      <c r="L3" s="49" t="s">
        <v>48</v>
      </c>
      <c r="M3" s="49" t="s">
        <v>50</v>
      </c>
    </row>
    <row r="4" spans="1:13" ht="15" customHeight="1" x14ac:dyDescent="0.35">
      <c r="A4" s="34">
        <v>46246</v>
      </c>
      <c r="B4" s="35" t="s">
        <v>51</v>
      </c>
      <c r="C4" s="35" t="s">
        <v>58</v>
      </c>
      <c r="D4" s="35" t="s">
        <v>55</v>
      </c>
      <c r="E4" s="35" t="s">
        <v>56</v>
      </c>
      <c r="F4" s="35" t="s">
        <v>138</v>
      </c>
      <c r="G4" s="35" t="s">
        <v>139</v>
      </c>
      <c r="H4" s="35">
        <v>4</v>
      </c>
      <c r="I4" s="35" t="s">
        <v>149</v>
      </c>
      <c r="J4" s="35" t="s">
        <v>150</v>
      </c>
      <c r="K4" s="35"/>
      <c r="L4" s="35" t="s">
        <v>151</v>
      </c>
      <c r="M4" s="35" t="str">
        <f t="shared" ref="M4:M35" si="0">IF($A4="","",IF(OR($A4="",$B4="",$C4="",$D4="",$F4="",$G4="",$J4=""),"Missing required field",IF(AND($H4&lt;&gt;"",OR(NOT(ISNUMBER($H4)),$H4&lt;1,$H4&gt;5)),"Satisfaction Score must be 1-5","OK")))</f>
        <v>OK</v>
      </c>
    </row>
    <row r="5" spans="1:13" ht="15" customHeight="1" x14ac:dyDescent="0.3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30" t="str">
        <f t="shared" si="0"/>
        <v/>
      </c>
    </row>
    <row r="6" spans="1:13" ht="15" customHeight="1" x14ac:dyDescent="0.3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30" t="str">
        <f t="shared" si="0"/>
        <v/>
      </c>
    </row>
    <row r="7" spans="1:13" ht="15" customHeight="1" x14ac:dyDescent="0.3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30" t="str">
        <f t="shared" si="0"/>
        <v/>
      </c>
    </row>
    <row r="8" spans="1:13" ht="15" customHeight="1" x14ac:dyDescent="0.3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30" t="str">
        <f t="shared" si="0"/>
        <v/>
      </c>
    </row>
    <row r="9" spans="1:13" ht="15" customHeight="1" x14ac:dyDescent="0.3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30" t="str">
        <f t="shared" si="0"/>
        <v/>
      </c>
    </row>
    <row r="10" spans="1:13" ht="15" customHeight="1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30" t="str">
        <f t="shared" si="0"/>
        <v/>
      </c>
    </row>
    <row r="11" spans="1:13" ht="15" customHeight="1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30" t="str">
        <f t="shared" si="0"/>
        <v/>
      </c>
    </row>
    <row r="12" spans="1:13" ht="15" customHeight="1" x14ac:dyDescent="0.3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30" t="str">
        <f t="shared" si="0"/>
        <v/>
      </c>
    </row>
    <row r="13" spans="1:13" ht="15" customHeight="1" x14ac:dyDescent="0.3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30" t="str">
        <f t="shared" si="0"/>
        <v/>
      </c>
    </row>
    <row r="14" spans="1:13" ht="15" customHeight="1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30" t="str">
        <f t="shared" si="0"/>
        <v/>
      </c>
    </row>
    <row r="15" spans="1:13" ht="15" customHeight="1" x14ac:dyDescent="0.3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30" t="str">
        <f t="shared" si="0"/>
        <v/>
      </c>
    </row>
    <row r="16" spans="1:13" ht="15" customHeight="1" x14ac:dyDescent="0.3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30" t="str">
        <f t="shared" si="0"/>
        <v/>
      </c>
    </row>
    <row r="17" spans="1:13" ht="15" customHeight="1" x14ac:dyDescent="0.3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30" t="str">
        <f t="shared" si="0"/>
        <v/>
      </c>
    </row>
    <row r="18" spans="1:13" ht="15" customHeight="1" x14ac:dyDescent="0.3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30" t="str">
        <f t="shared" si="0"/>
        <v/>
      </c>
    </row>
    <row r="19" spans="1:13" ht="15" customHeight="1" x14ac:dyDescent="0.3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30" t="str">
        <f t="shared" si="0"/>
        <v/>
      </c>
    </row>
    <row r="20" spans="1:13" ht="15" customHeight="1" x14ac:dyDescent="0.3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30" t="str">
        <f t="shared" si="0"/>
        <v/>
      </c>
    </row>
    <row r="21" spans="1:13" ht="15" customHeight="1" x14ac:dyDescent="0.3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30" t="str">
        <f t="shared" si="0"/>
        <v/>
      </c>
    </row>
    <row r="22" spans="1:13" ht="15" customHeight="1" x14ac:dyDescent="0.3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30" t="str">
        <f t="shared" si="0"/>
        <v/>
      </c>
    </row>
    <row r="23" spans="1:13" ht="15" customHeight="1" x14ac:dyDescent="0.3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30" t="str">
        <f t="shared" si="0"/>
        <v/>
      </c>
    </row>
    <row r="24" spans="1:13" ht="15" customHeight="1" x14ac:dyDescent="0.3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30" t="str">
        <f t="shared" si="0"/>
        <v/>
      </c>
    </row>
    <row r="25" spans="1:13" ht="15" customHeight="1" x14ac:dyDescent="0.3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30" t="str">
        <f t="shared" si="0"/>
        <v/>
      </c>
    </row>
    <row r="26" spans="1:13" ht="15" customHeight="1" x14ac:dyDescent="0.3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30" t="str">
        <f t="shared" si="0"/>
        <v/>
      </c>
    </row>
    <row r="27" spans="1:13" ht="15" customHeight="1" x14ac:dyDescent="0.3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30" t="str">
        <f t="shared" si="0"/>
        <v/>
      </c>
    </row>
    <row r="28" spans="1:13" ht="15" customHeight="1" x14ac:dyDescent="0.3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30" t="str">
        <f t="shared" si="0"/>
        <v/>
      </c>
    </row>
    <row r="29" spans="1:13" ht="15" customHeight="1" x14ac:dyDescent="0.35">
      <c r="M29" s="2" t="str">
        <f t="shared" si="0"/>
        <v/>
      </c>
    </row>
    <row r="30" spans="1:13" ht="15" customHeight="1" x14ac:dyDescent="0.35">
      <c r="M30" s="2" t="str">
        <f t="shared" si="0"/>
        <v/>
      </c>
    </row>
    <row r="31" spans="1:13" ht="15" customHeight="1" x14ac:dyDescent="0.35">
      <c r="M31" s="2" t="str">
        <f t="shared" si="0"/>
        <v/>
      </c>
    </row>
    <row r="32" spans="1:13" ht="15" customHeight="1" x14ac:dyDescent="0.35">
      <c r="M32" s="2" t="str">
        <f t="shared" si="0"/>
        <v/>
      </c>
    </row>
    <row r="33" spans="13:13" ht="15" customHeight="1" x14ac:dyDescent="0.35">
      <c r="M33" s="2" t="str">
        <f t="shared" si="0"/>
        <v/>
      </c>
    </row>
    <row r="34" spans="13:13" ht="15" customHeight="1" x14ac:dyDescent="0.35">
      <c r="M34" s="2" t="str">
        <f t="shared" si="0"/>
        <v/>
      </c>
    </row>
    <row r="35" spans="13:13" ht="15" customHeight="1" x14ac:dyDescent="0.35">
      <c r="M35" s="2" t="str">
        <f t="shared" si="0"/>
        <v/>
      </c>
    </row>
    <row r="36" spans="13:13" ht="15" customHeight="1" x14ac:dyDescent="0.35">
      <c r="M36" s="2" t="str">
        <f t="shared" ref="M36:M67" si="1">IF($A36="","",IF(OR($A36="",$B36="",$C36="",$D36="",$F36="",$G36="",$J36=""),"Missing required field",IF(AND($H36&lt;&gt;"",OR(NOT(ISNUMBER($H36)),$H36&lt;1,$H36&gt;5)),"Satisfaction Score must be 1-5","OK")))</f>
        <v/>
      </c>
    </row>
    <row r="37" spans="13:13" ht="15" customHeight="1" x14ac:dyDescent="0.35">
      <c r="M37" s="2" t="str">
        <f t="shared" si="1"/>
        <v/>
      </c>
    </row>
    <row r="38" spans="13:13" ht="15" customHeight="1" x14ac:dyDescent="0.35">
      <c r="M38" s="2" t="str">
        <f t="shared" si="1"/>
        <v/>
      </c>
    </row>
    <row r="39" spans="13:13" ht="15" customHeight="1" x14ac:dyDescent="0.35">
      <c r="M39" s="2" t="str">
        <f t="shared" si="1"/>
        <v/>
      </c>
    </row>
    <row r="40" spans="13:13" ht="15" customHeight="1" x14ac:dyDescent="0.35">
      <c r="M40" s="2" t="str">
        <f t="shared" si="1"/>
        <v/>
      </c>
    </row>
    <row r="41" spans="13:13" ht="15" customHeight="1" x14ac:dyDescent="0.35">
      <c r="M41" s="2" t="str">
        <f t="shared" si="1"/>
        <v/>
      </c>
    </row>
    <row r="42" spans="13:13" ht="15" customHeight="1" x14ac:dyDescent="0.35">
      <c r="M42" s="2" t="str">
        <f t="shared" si="1"/>
        <v/>
      </c>
    </row>
    <row r="43" spans="13:13" ht="15" customHeight="1" x14ac:dyDescent="0.35">
      <c r="M43" s="2" t="str">
        <f t="shared" si="1"/>
        <v/>
      </c>
    </row>
    <row r="44" spans="13:13" ht="15" customHeight="1" x14ac:dyDescent="0.35">
      <c r="M44" s="2" t="str">
        <f t="shared" si="1"/>
        <v/>
      </c>
    </row>
    <row r="45" spans="13:13" ht="15" customHeight="1" x14ac:dyDescent="0.35">
      <c r="M45" s="2" t="str">
        <f t="shared" si="1"/>
        <v/>
      </c>
    </row>
    <row r="46" spans="13:13" ht="15" customHeight="1" x14ac:dyDescent="0.35">
      <c r="M46" s="2" t="str">
        <f t="shared" si="1"/>
        <v/>
      </c>
    </row>
    <row r="47" spans="13:13" ht="15" customHeight="1" x14ac:dyDescent="0.35">
      <c r="M47" s="2" t="str">
        <f t="shared" si="1"/>
        <v/>
      </c>
    </row>
    <row r="48" spans="13:13" ht="15" customHeight="1" x14ac:dyDescent="0.35">
      <c r="M48" s="2" t="str">
        <f t="shared" si="1"/>
        <v/>
      </c>
    </row>
    <row r="49" spans="13:13" ht="15" customHeight="1" x14ac:dyDescent="0.35">
      <c r="M49" s="2" t="str">
        <f t="shared" si="1"/>
        <v/>
      </c>
    </row>
    <row r="50" spans="13:13" ht="15" customHeight="1" x14ac:dyDescent="0.35">
      <c r="M50" s="2" t="str">
        <f t="shared" si="1"/>
        <v/>
      </c>
    </row>
    <row r="51" spans="13:13" ht="15" customHeight="1" x14ac:dyDescent="0.35">
      <c r="M51" s="2" t="str">
        <f t="shared" si="1"/>
        <v/>
      </c>
    </row>
    <row r="52" spans="13:13" ht="15" customHeight="1" x14ac:dyDescent="0.35">
      <c r="M52" s="2" t="str">
        <f t="shared" si="1"/>
        <v/>
      </c>
    </row>
    <row r="53" spans="13:13" ht="15" customHeight="1" x14ac:dyDescent="0.35">
      <c r="M53" s="2" t="str">
        <f t="shared" si="1"/>
        <v/>
      </c>
    </row>
    <row r="54" spans="13:13" ht="15" customHeight="1" x14ac:dyDescent="0.35">
      <c r="M54" s="2" t="str">
        <f t="shared" si="1"/>
        <v/>
      </c>
    </row>
    <row r="55" spans="13:13" ht="15" customHeight="1" x14ac:dyDescent="0.35">
      <c r="M55" s="2" t="str">
        <f t="shared" si="1"/>
        <v/>
      </c>
    </row>
    <row r="56" spans="13:13" ht="15" customHeight="1" x14ac:dyDescent="0.35">
      <c r="M56" s="2" t="str">
        <f t="shared" si="1"/>
        <v/>
      </c>
    </row>
    <row r="57" spans="13:13" ht="15" customHeight="1" x14ac:dyDescent="0.35">
      <c r="M57" s="2" t="str">
        <f t="shared" si="1"/>
        <v/>
      </c>
    </row>
    <row r="58" spans="13:13" ht="15" customHeight="1" x14ac:dyDescent="0.35">
      <c r="M58" s="2" t="str">
        <f t="shared" si="1"/>
        <v/>
      </c>
    </row>
    <row r="59" spans="13:13" ht="15" customHeight="1" x14ac:dyDescent="0.35">
      <c r="M59" s="2" t="str">
        <f t="shared" si="1"/>
        <v/>
      </c>
    </row>
    <row r="60" spans="13:13" ht="15" customHeight="1" x14ac:dyDescent="0.35">
      <c r="M60" s="2" t="str">
        <f t="shared" si="1"/>
        <v/>
      </c>
    </row>
    <row r="61" spans="13:13" ht="15" customHeight="1" x14ac:dyDescent="0.35">
      <c r="M61" s="2" t="str">
        <f t="shared" si="1"/>
        <v/>
      </c>
    </row>
    <row r="62" spans="13:13" ht="15" customHeight="1" x14ac:dyDescent="0.35">
      <c r="M62" s="2" t="str">
        <f t="shared" si="1"/>
        <v/>
      </c>
    </row>
    <row r="63" spans="13:13" ht="15" customHeight="1" x14ac:dyDescent="0.35">
      <c r="M63" s="2" t="str">
        <f t="shared" si="1"/>
        <v/>
      </c>
    </row>
    <row r="64" spans="13:13" ht="15" customHeight="1" x14ac:dyDescent="0.35">
      <c r="M64" s="2" t="str">
        <f t="shared" si="1"/>
        <v/>
      </c>
    </row>
    <row r="65" spans="13:13" ht="15" customHeight="1" x14ac:dyDescent="0.35">
      <c r="M65" s="2" t="str">
        <f t="shared" si="1"/>
        <v/>
      </c>
    </row>
    <row r="66" spans="13:13" ht="15" customHeight="1" x14ac:dyDescent="0.35">
      <c r="M66" s="2" t="str">
        <f t="shared" si="1"/>
        <v/>
      </c>
    </row>
    <row r="67" spans="13:13" ht="15" customHeight="1" x14ac:dyDescent="0.35">
      <c r="M67" s="2" t="str">
        <f t="shared" si="1"/>
        <v/>
      </c>
    </row>
    <row r="68" spans="13:13" ht="15" customHeight="1" x14ac:dyDescent="0.35">
      <c r="M68" s="2" t="str">
        <f t="shared" ref="M68:M99" si="2">IF($A68="","",IF(OR($A68="",$B68="",$C68="",$D68="",$F68="",$G68="",$J68=""),"Missing required field",IF(AND($H68&lt;&gt;"",OR(NOT(ISNUMBER($H68)),$H68&lt;1,$H68&gt;5)),"Satisfaction Score must be 1-5","OK")))</f>
        <v/>
      </c>
    </row>
    <row r="69" spans="13:13" ht="15" customHeight="1" x14ac:dyDescent="0.35">
      <c r="M69" s="2" t="str">
        <f t="shared" si="2"/>
        <v/>
      </c>
    </row>
    <row r="70" spans="13:13" ht="15" customHeight="1" x14ac:dyDescent="0.35">
      <c r="M70" s="2" t="str">
        <f t="shared" si="2"/>
        <v/>
      </c>
    </row>
    <row r="71" spans="13:13" ht="15" customHeight="1" x14ac:dyDescent="0.35">
      <c r="M71" s="2" t="str">
        <f t="shared" si="2"/>
        <v/>
      </c>
    </row>
    <row r="72" spans="13:13" ht="15" customHeight="1" x14ac:dyDescent="0.35">
      <c r="M72" s="2" t="str">
        <f t="shared" si="2"/>
        <v/>
      </c>
    </row>
    <row r="73" spans="13:13" ht="15" customHeight="1" x14ac:dyDescent="0.35">
      <c r="M73" s="2" t="str">
        <f t="shared" si="2"/>
        <v/>
      </c>
    </row>
    <row r="74" spans="13:13" ht="15" customHeight="1" x14ac:dyDescent="0.35">
      <c r="M74" s="2" t="str">
        <f t="shared" si="2"/>
        <v/>
      </c>
    </row>
    <row r="75" spans="13:13" ht="15" customHeight="1" x14ac:dyDescent="0.35">
      <c r="M75" s="2" t="str">
        <f t="shared" si="2"/>
        <v/>
      </c>
    </row>
    <row r="76" spans="13:13" ht="15" customHeight="1" x14ac:dyDescent="0.35">
      <c r="M76" s="2" t="str">
        <f t="shared" si="2"/>
        <v/>
      </c>
    </row>
    <row r="77" spans="13:13" ht="15" customHeight="1" x14ac:dyDescent="0.35">
      <c r="M77" s="2" t="str">
        <f t="shared" si="2"/>
        <v/>
      </c>
    </row>
    <row r="78" spans="13:13" ht="15" customHeight="1" x14ac:dyDescent="0.35">
      <c r="M78" s="2" t="str">
        <f t="shared" si="2"/>
        <v/>
      </c>
    </row>
    <row r="79" spans="13:13" ht="15" customHeight="1" x14ac:dyDescent="0.35">
      <c r="M79" s="2" t="str">
        <f t="shared" si="2"/>
        <v/>
      </c>
    </row>
    <row r="80" spans="13:13" ht="15" customHeight="1" x14ac:dyDescent="0.35">
      <c r="M80" s="2" t="str">
        <f t="shared" si="2"/>
        <v/>
      </c>
    </row>
    <row r="81" spans="13:13" ht="15" customHeight="1" x14ac:dyDescent="0.35">
      <c r="M81" s="2" t="str">
        <f t="shared" si="2"/>
        <v/>
      </c>
    </row>
    <row r="82" spans="13:13" ht="15" customHeight="1" x14ac:dyDescent="0.35">
      <c r="M82" s="2" t="str">
        <f t="shared" si="2"/>
        <v/>
      </c>
    </row>
    <row r="83" spans="13:13" ht="15" customHeight="1" x14ac:dyDescent="0.35">
      <c r="M83" s="2" t="str">
        <f t="shared" si="2"/>
        <v/>
      </c>
    </row>
    <row r="84" spans="13:13" ht="15" customHeight="1" x14ac:dyDescent="0.35">
      <c r="M84" s="2" t="str">
        <f t="shared" si="2"/>
        <v/>
      </c>
    </row>
    <row r="85" spans="13:13" ht="15" customHeight="1" x14ac:dyDescent="0.35">
      <c r="M85" s="2" t="str">
        <f t="shared" si="2"/>
        <v/>
      </c>
    </row>
    <row r="86" spans="13:13" ht="15" customHeight="1" x14ac:dyDescent="0.35">
      <c r="M86" s="2" t="str">
        <f t="shared" si="2"/>
        <v/>
      </c>
    </row>
    <row r="87" spans="13:13" ht="15" customHeight="1" x14ac:dyDescent="0.35">
      <c r="M87" s="2" t="str">
        <f t="shared" si="2"/>
        <v/>
      </c>
    </row>
    <row r="88" spans="13:13" ht="15" customHeight="1" x14ac:dyDescent="0.35">
      <c r="M88" s="2" t="str">
        <f t="shared" si="2"/>
        <v/>
      </c>
    </row>
    <row r="89" spans="13:13" ht="15" customHeight="1" x14ac:dyDescent="0.35">
      <c r="M89" s="2" t="str">
        <f t="shared" si="2"/>
        <v/>
      </c>
    </row>
    <row r="90" spans="13:13" ht="15" customHeight="1" x14ac:dyDescent="0.35">
      <c r="M90" s="2" t="str">
        <f t="shared" si="2"/>
        <v/>
      </c>
    </row>
    <row r="91" spans="13:13" ht="15" customHeight="1" x14ac:dyDescent="0.35">
      <c r="M91" s="2" t="str">
        <f t="shared" si="2"/>
        <v/>
      </c>
    </row>
    <row r="92" spans="13:13" ht="15" customHeight="1" x14ac:dyDescent="0.35">
      <c r="M92" s="2" t="str">
        <f t="shared" si="2"/>
        <v/>
      </c>
    </row>
    <row r="93" spans="13:13" ht="15" customHeight="1" x14ac:dyDescent="0.35">
      <c r="M93" s="2" t="str">
        <f t="shared" si="2"/>
        <v/>
      </c>
    </row>
    <row r="94" spans="13:13" ht="15" customHeight="1" x14ac:dyDescent="0.35">
      <c r="M94" s="2" t="str">
        <f t="shared" si="2"/>
        <v/>
      </c>
    </row>
    <row r="95" spans="13:13" ht="15" customHeight="1" x14ac:dyDescent="0.35">
      <c r="M95" s="2" t="str">
        <f t="shared" si="2"/>
        <v/>
      </c>
    </row>
    <row r="96" spans="13:13" ht="15" customHeight="1" x14ac:dyDescent="0.35">
      <c r="M96" s="2" t="str">
        <f t="shared" si="2"/>
        <v/>
      </c>
    </row>
    <row r="97" spans="13:13" ht="15" customHeight="1" x14ac:dyDescent="0.35">
      <c r="M97" s="2" t="str">
        <f t="shared" si="2"/>
        <v/>
      </c>
    </row>
    <row r="98" spans="13:13" ht="15" customHeight="1" x14ac:dyDescent="0.35">
      <c r="M98" s="2" t="str">
        <f t="shared" si="2"/>
        <v/>
      </c>
    </row>
    <row r="99" spans="13:13" ht="15" customHeight="1" x14ac:dyDescent="0.35">
      <c r="M99" s="2" t="str">
        <f t="shared" si="2"/>
        <v/>
      </c>
    </row>
    <row r="100" spans="13:13" ht="15" customHeight="1" x14ac:dyDescent="0.35">
      <c r="M100" s="2" t="str">
        <f t="shared" ref="M100:M131" si="3">IF($A100="","",IF(OR($A100="",$B100="",$C100="",$D100="",$F100="",$G100="",$J100=""),"Missing required field",IF(AND($H100&lt;&gt;"",OR(NOT(ISNUMBER($H100)),$H100&lt;1,$H100&gt;5)),"Satisfaction Score must be 1-5","OK")))</f>
        <v/>
      </c>
    </row>
    <row r="101" spans="13:13" ht="15" customHeight="1" x14ac:dyDescent="0.35">
      <c r="M101" s="2" t="str">
        <f t="shared" si="3"/>
        <v/>
      </c>
    </row>
    <row r="102" spans="13:13" ht="15" customHeight="1" x14ac:dyDescent="0.35">
      <c r="M102" s="2" t="str">
        <f t="shared" si="3"/>
        <v/>
      </c>
    </row>
    <row r="103" spans="13:13" ht="15" customHeight="1" x14ac:dyDescent="0.35">
      <c r="M103" s="2" t="str">
        <f t="shared" si="3"/>
        <v/>
      </c>
    </row>
    <row r="104" spans="13:13" ht="15" customHeight="1" x14ac:dyDescent="0.35">
      <c r="M104" s="2" t="str">
        <f t="shared" si="3"/>
        <v/>
      </c>
    </row>
    <row r="105" spans="13:13" ht="15" customHeight="1" x14ac:dyDescent="0.35">
      <c r="M105" s="2" t="str">
        <f t="shared" si="3"/>
        <v/>
      </c>
    </row>
    <row r="106" spans="13:13" ht="15" customHeight="1" x14ac:dyDescent="0.35">
      <c r="M106" s="2" t="str">
        <f t="shared" si="3"/>
        <v/>
      </c>
    </row>
    <row r="107" spans="13:13" ht="15" customHeight="1" x14ac:dyDescent="0.35">
      <c r="M107" s="2" t="str">
        <f t="shared" si="3"/>
        <v/>
      </c>
    </row>
    <row r="108" spans="13:13" ht="15" customHeight="1" x14ac:dyDescent="0.35">
      <c r="M108" s="2" t="str">
        <f t="shared" si="3"/>
        <v/>
      </c>
    </row>
    <row r="109" spans="13:13" ht="15" customHeight="1" x14ac:dyDescent="0.35">
      <c r="M109" s="2" t="str">
        <f t="shared" si="3"/>
        <v/>
      </c>
    </row>
    <row r="110" spans="13:13" ht="15" customHeight="1" x14ac:dyDescent="0.35">
      <c r="M110" s="2" t="str">
        <f t="shared" si="3"/>
        <v/>
      </c>
    </row>
    <row r="111" spans="13:13" ht="15" customHeight="1" x14ac:dyDescent="0.35">
      <c r="M111" s="2" t="str">
        <f t="shared" si="3"/>
        <v/>
      </c>
    </row>
    <row r="112" spans="13:13" ht="15" customHeight="1" x14ac:dyDescent="0.35">
      <c r="M112" s="2" t="str">
        <f t="shared" si="3"/>
        <v/>
      </c>
    </row>
    <row r="113" spans="13:13" ht="15" customHeight="1" x14ac:dyDescent="0.35">
      <c r="M113" s="2" t="str">
        <f t="shared" si="3"/>
        <v/>
      </c>
    </row>
    <row r="114" spans="13:13" ht="15" customHeight="1" x14ac:dyDescent="0.35">
      <c r="M114" s="2" t="str">
        <f t="shared" si="3"/>
        <v/>
      </c>
    </row>
    <row r="115" spans="13:13" ht="15" customHeight="1" x14ac:dyDescent="0.35">
      <c r="M115" s="2" t="str">
        <f t="shared" si="3"/>
        <v/>
      </c>
    </row>
    <row r="116" spans="13:13" ht="15" customHeight="1" x14ac:dyDescent="0.35">
      <c r="M116" s="2" t="str">
        <f t="shared" si="3"/>
        <v/>
      </c>
    </row>
    <row r="117" spans="13:13" ht="15" customHeight="1" x14ac:dyDescent="0.35">
      <c r="M117" s="2" t="str">
        <f t="shared" si="3"/>
        <v/>
      </c>
    </row>
    <row r="118" spans="13:13" ht="15" customHeight="1" x14ac:dyDescent="0.35">
      <c r="M118" s="2" t="str">
        <f t="shared" si="3"/>
        <v/>
      </c>
    </row>
    <row r="119" spans="13:13" ht="15" customHeight="1" x14ac:dyDescent="0.35">
      <c r="M119" s="2" t="str">
        <f t="shared" si="3"/>
        <v/>
      </c>
    </row>
    <row r="120" spans="13:13" ht="15" customHeight="1" x14ac:dyDescent="0.35">
      <c r="M120" s="2" t="str">
        <f t="shared" si="3"/>
        <v/>
      </c>
    </row>
    <row r="121" spans="13:13" ht="15" customHeight="1" x14ac:dyDescent="0.35">
      <c r="M121" s="2" t="str">
        <f t="shared" si="3"/>
        <v/>
      </c>
    </row>
    <row r="122" spans="13:13" ht="15" customHeight="1" x14ac:dyDescent="0.35">
      <c r="M122" s="2" t="str">
        <f t="shared" si="3"/>
        <v/>
      </c>
    </row>
    <row r="123" spans="13:13" ht="15" customHeight="1" x14ac:dyDescent="0.35">
      <c r="M123" s="2" t="str">
        <f t="shared" si="3"/>
        <v/>
      </c>
    </row>
    <row r="124" spans="13:13" ht="15" customHeight="1" x14ac:dyDescent="0.35">
      <c r="M124" s="2" t="str">
        <f t="shared" si="3"/>
        <v/>
      </c>
    </row>
    <row r="125" spans="13:13" ht="15" customHeight="1" x14ac:dyDescent="0.35">
      <c r="M125" s="2" t="str">
        <f t="shared" si="3"/>
        <v/>
      </c>
    </row>
    <row r="126" spans="13:13" ht="15" customHeight="1" x14ac:dyDescent="0.35">
      <c r="M126" s="2" t="str">
        <f t="shared" si="3"/>
        <v/>
      </c>
    </row>
    <row r="127" spans="13:13" ht="15" customHeight="1" x14ac:dyDescent="0.35">
      <c r="M127" s="2" t="str">
        <f t="shared" si="3"/>
        <v/>
      </c>
    </row>
    <row r="128" spans="13:13" ht="15" customHeight="1" x14ac:dyDescent="0.35">
      <c r="M128" s="2" t="str">
        <f t="shared" si="3"/>
        <v/>
      </c>
    </row>
    <row r="129" spans="13:13" ht="15" customHeight="1" x14ac:dyDescent="0.35">
      <c r="M129" s="2" t="str">
        <f t="shared" si="3"/>
        <v/>
      </c>
    </row>
    <row r="130" spans="13:13" ht="15" customHeight="1" x14ac:dyDescent="0.35">
      <c r="M130" s="2" t="str">
        <f t="shared" si="3"/>
        <v/>
      </c>
    </row>
    <row r="131" spans="13:13" ht="15" customHeight="1" x14ac:dyDescent="0.35">
      <c r="M131" s="2" t="str">
        <f t="shared" si="3"/>
        <v/>
      </c>
    </row>
    <row r="132" spans="13:13" ht="15" customHeight="1" x14ac:dyDescent="0.35">
      <c r="M132" s="2" t="str">
        <f t="shared" ref="M132:M163" si="4">IF($A132="","",IF(OR($A132="",$B132="",$C132="",$D132="",$F132="",$G132="",$J132=""),"Missing required field",IF(AND($H132&lt;&gt;"",OR(NOT(ISNUMBER($H132)),$H132&lt;1,$H132&gt;5)),"Satisfaction Score must be 1-5","OK")))</f>
        <v/>
      </c>
    </row>
    <row r="133" spans="13:13" ht="15" customHeight="1" x14ac:dyDescent="0.35">
      <c r="M133" s="2" t="str">
        <f t="shared" si="4"/>
        <v/>
      </c>
    </row>
    <row r="134" spans="13:13" ht="15" customHeight="1" x14ac:dyDescent="0.35">
      <c r="M134" s="2" t="str">
        <f t="shared" si="4"/>
        <v/>
      </c>
    </row>
    <row r="135" spans="13:13" ht="15" customHeight="1" x14ac:dyDescent="0.35">
      <c r="M135" s="2" t="str">
        <f t="shared" si="4"/>
        <v/>
      </c>
    </row>
    <row r="136" spans="13:13" ht="15" customHeight="1" x14ac:dyDescent="0.35">
      <c r="M136" s="2" t="str">
        <f t="shared" si="4"/>
        <v/>
      </c>
    </row>
    <row r="137" spans="13:13" ht="15" customHeight="1" x14ac:dyDescent="0.35">
      <c r="M137" s="2" t="str">
        <f t="shared" si="4"/>
        <v/>
      </c>
    </row>
    <row r="138" spans="13:13" ht="15" customHeight="1" x14ac:dyDescent="0.35">
      <c r="M138" s="2" t="str">
        <f t="shared" si="4"/>
        <v/>
      </c>
    </row>
    <row r="139" spans="13:13" ht="15" customHeight="1" x14ac:dyDescent="0.35">
      <c r="M139" s="2" t="str">
        <f t="shared" si="4"/>
        <v/>
      </c>
    </row>
    <row r="140" spans="13:13" ht="15" customHeight="1" x14ac:dyDescent="0.35">
      <c r="M140" s="2" t="str">
        <f t="shared" si="4"/>
        <v/>
      </c>
    </row>
    <row r="141" spans="13:13" ht="15" customHeight="1" x14ac:dyDescent="0.35">
      <c r="M141" s="2" t="str">
        <f t="shared" si="4"/>
        <v/>
      </c>
    </row>
    <row r="142" spans="13:13" ht="15" customHeight="1" x14ac:dyDescent="0.35">
      <c r="M142" s="2" t="str">
        <f t="shared" si="4"/>
        <v/>
      </c>
    </row>
    <row r="143" spans="13:13" ht="15" customHeight="1" x14ac:dyDescent="0.35">
      <c r="M143" s="2" t="str">
        <f t="shared" si="4"/>
        <v/>
      </c>
    </row>
    <row r="144" spans="13:13" ht="15" customHeight="1" x14ac:dyDescent="0.35">
      <c r="M144" s="2" t="str">
        <f t="shared" si="4"/>
        <v/>
      </c>
    </row>
    <row r="145" spans="13:13" ht="15" customHeight="1" x14ac:dyDescent="0.35">
      <c r="M145" s="2" t="str">
        <f t="shared" si="4"/>
        <v/>
      </c>
    </row>
    <row r="146" spans="13:13" ht="15" customHeight="1" x14ac:dyDescent="0.35">
      <c r="M146" s="2" t="str">
        <f t="shared" si="4"/>
        <v/>
      </c>
    </row>
    <row r="147" spans="13:13" ht="15" customHeight="1" x14ac:dyDescent="0.35">
      <c r="M147" s="2" t="str">
        <f t="shared" si="4"/>
        <v/>
      </c>
    </row>
    <row r="148" spans="13:13" ht="15" customHeight="1" x14ac:dyDescent="0.35">
      <c r="M148" s="2" t="str">
        <f t="shared" si="4"/>
        <v/>
      </c>
    </row>
    <row r="149" spans="13:13" ht="15" customHeight="1" x14ac:dyDescent="0.35">
      <c r="M149" s="2" t="str">
        <f t="shared" si="4"/>
        <v/>
      </c>
    </row>
    <row r="150" spans="13:13" ht="15" customHeight="1" x14ac:dyDescent="0.35">
      <c r="M150" s="2" t="str">
        <f t="shared" si="4"/>
        <v/>
      </c>
    </row>
    <row r="151" spans="13:13" ht="15" customHeight="1" x14ac:dyDescent="0.35">
      <c r="M151" s="2" t="str">
        <f t="shared" si="4"/>
        <v/>
      </c>
    </row>
    <row r="152" spans="13:13" ht="15" customHeight="1" x14ac:dyDescent="0.35">
      <c r="M152" s="2" t="str">
        <f t="shared" si="4"/>
        <v/>
      </c>
    </row>
    <row r="153" spans="13:13" ht="15" customHeight="1" x14ac:dyDescent="0.35">
      <c r="M153" s="2" t="str">
        <f t="shared" si="4"/>
        <v/>
      </c>
    </row>
    <row r="154" spans="13:13" ht="15" customHeight="1" x14ac:dyDescent="0.35">
      <c r="M154" s="2" t="str">
        <f t="shared" si="4"/>
        <v/>
      </c>
    </row>
    <row r="155" spans="13:13" ht="15" customHeight="1" x14ac:dyDescent="0.35">
      <c r="M155" s="2" t="str">
        <f t="shared" si="4"/>
        <v/>
      </c>
    </row>
    <row r="156" spans="13:13" ht="15" customHeight="1" x14ac:dyDescent="0.35">
      <c r="M156" s="2" t="str">
        <f t="shared" si="4"/>
        <v/>
      </c>
    </row>
    <row r="157" spans="13:13" ht="15" customHeight="1" x14ac:dyDescent="0.35">
      <c r="M157" s="2" t="str">
        <f t="shared" si="4"/>
        <v/>
      </c>
    </row>
    <row r="158" spans="13:13" ht="15" customHeight="1" x14ac:dyDescent="0.35">
      <c r="M158" s="2" t="str">
        <f t="shared" si="4"/>
        <v/>
      </c>
    </row>
    <row r="159" spans="13:13" ht="15" customHeight="1" x14ac:dyDescent="0.35">
      <c r="M159" s="2" t="str">
        <f t="shared" si="4"/>
        <v/>
      </c>
    </row>
    <row r="160" spans="13:13" ht="15" customHeight="1" x14ac:dyDescent="0.35">
      <c r="M160" s="2" t="str">
        <f t="shared" si="4"/>
        <v/>
      </c>
    </row>
    <row r="161" spans="13:13" ht="15" customHeight="1" x14ac:dyDescent="0.35">
      <c r="M161" s="2" t="str">
        <f t="shared" si="4"/>
        <v/>
      </c>
    </row>
    <row r="162" spans="13:13" ht="15" customHeight="1" x14ac:dyDescent="0.35">
      <c r="M162" s="2" t="str">
        <f t="shared" si="4"/>
        <v/>
      </c>
    </row>
    <row r="163" spans="13:13" ht="15" customHeight="1" x14ac:dyDescent="0.35">
      <c r="M163" s="2" t="str">
        <f t="shared" si="4"/>
        <v/>
      </c>
    </row>
    <row r="164" spans="13:13" ht="15" customHeight="1" x14ac:dyDescent="0.35">
      <c r="M164" s="2" t="str">
        <f t="shared" ref="M164:M200" si="5">IF($A164="","",IF(OR($A164="",$B164="",$C164="",$D164="",$F164="",$G164="",$J164=""),"Missing required field",IF(AND($H164&lt;&gt;"",OR(NOT(ISNUMBER($H164)),$H164&lt;1,$H164&gt;5)),"Satisfaction Score must be 1-5","OK")))</f>
        <v/>
      </c>
    </row>
    <row r="165" spans="13:13" ht="15" customHeight="1" x14ac:dyDescent="0.35">
      <c r="M165" s="2" t="str">
        <f t="shared" si="5"/>
        <v/>
      </c>
    </row>
    <row r="166" spans="13:13" ht="15" customHeight="1" x14ac:dyDescent="0.35">
      <c r="M166" s="2" t="str">
        <f t="shared" si="5"/>
        <v/>
      </c>
    </row>
    <row r="167" spans="13:13" ht="15" customHeight="1" x14ac:dyDescent="0.35">
      <c r="M167" s="2" t="str">
        <f t="shared" si="5"/>
        <v/>
      </c>
    </row>
    <row r="168" spans="13:13" ht="15" customHeight="1" x14ac:dyDescent="0.35">
      <c r="M168" s="2" t="str">
        <f t="shared" si="5"/>
        <v/>
      </c>
    </row>
    <row r="169" spans="13:13" ht="15" customHeight="1" x14ac:dyDescent="0.35">
      <c r="M169" s="2" t="str">
        <f t="shared" si="5"/>
        <v/>
      </c>
    </row>
    <row r="170" spans="13:13" ht="15" customHeight="1" x14ac:dyDescent="0.35">
      <c r="M170" s="2" t="str">
        <f t="shared" si="5"/>
        <v/>
      </c>
    </row>
    <row r="171" spans="13:13" ht="15" customHeight="1" x14ac:dyDescent="0.35">
      <c r="M171" s="2" t="str">
        <f t="shared" si="5"/>
        <v/>
      </c>
    </row>
    <row r="172" spans="13:13" ht="15" customHeight="1" x14ac:dyDescent="0.35">
      <c r="M172" s="2" t="str">
        <f t="shared" si="5"/>
        <v/>
      </c>
    </row>
    <row r="173" spans="13:13" ht="15" customHeight="1" x14ac:dyDescent="0.35">
      <c r="M173" s="2" t="str">
        <f t="shared" si="5"/>
        <v/>
      </c>
    </row>
    <row r="174" spans="13:13" ht="15" customHeight="1" x14ac:dyDescent="0.35">
      <c r="M174" s="2" t="str">
        <f t="shared" si="5"/>
        <v/>
      </c>
    </row>
    <row r="175" spans="13:13" ht="15" customHeight="1" x14ac:dyDescent="0.35">
      <c r="M175" s="2" t="str">
        <f t="shared" si="5"/>
        <v/>
      </c>
    </row>
    <row r="176" spans="13:13" ht="15" customHeight="1" x14ac:dyDescent="0.35">
      <c r="M176" s="2" t="str">
        <f t="shared" si="5"/>
        <v/>
      </c>
    </row>
    <row r="177" spans="13:13" ht="15" customHeight="1" x14ac:dyDescent="0.35">
      <c r="M177" s="2" t="str">
        <f t="shared" si="5"/>
        <v/>
      </c>
    </row>
    <row r="178" spans="13:13" ht="15" customHeight="1" x14ac:dyDescent="0.35">
      <c r="M178" s="2" t="str">
        <f t="shared" si="5"/>
        <v/>
      </c>
    </row>
    <row r="179" spans="13:13" ht="15" customHeight="1" x14ac:dyDescent="0.35">
      <c r="M179" s="2" t="str">
        <f t="shared" si="5"/>
        <v/>
      </c>
    </row>
    <row r="180" spans="13:13" ht="15" customHeight="1" x14ac:dyDescent="0.35">
      <c r="M180" s="2" t="str">
        <f t="shared" si="5"/>
        <v/>
      </c>
    </row>
    <row r="181" spans="13:13" ht="15" customHeight="1" x14ac:dyDescent="0.35">
      <c r="M181" s="2" t="str">
        <f t="shared" si="5"/>
        <v/>
      </c>
    </row>
    <row r="182" spans="13:13" ht="15" customHeight="1" x14ac:dyDescent="0.35">
      <c r="M182" s="2" t="str">
        <f t="shared" si="5"/>
        <v/>
      </c>
    </row>
    <row r="183" spans="13:13" ht="15" customHeight="1" x14ac:dyDescent="0.35">
      <c r="M183" s="2" t="str">
        <f t="shared" si="5"/>
        <v/>
      </c>
    </row>
    <row r="184" spans="13:13" ht="15" customHeight="1" x14ac:dyDescent="0.35">
      <c r="M184" s="2" t="str">
        <f t="shared" si="5"/>
        <v/>
      </c>
    </row>
    <row r="185" spans="13:13" ht="15" customHeight="1" x14ac:dyDescent="0.35">
      <c r="M185" s="2" t="str">
        <f t="shared" si="5"/>
        <v/>
      </c>
    </row>
    <row r="186" spans="13:13" ht="15" customHeight="1" x14ac:dyDescent="0.35">
      <c r="M186" s="2" t="str">
        <f t="shared" si="5"/>
        <v/>
      </c>
    </row>
    <row r="187" spans="13:13" ht="15" customHeight="1" x14ac:dyDescent="0.35">
      <c r="M187" s="2" t="str">
        <f t="shared" si="5"/>
        <v/>
      </c>
    </row>
    <row r="188" spans="13:13" ht="15" customHeight="1" x14ac:dyDescent="0.35">
      <c r="M188" s="2" t="str">
        <f t="shared" si="5"/>
        <v/>
      </c>
    </row>
    <row r="189" spans="13:13" ht="15" customHeight="1" x14ac:dyDescent="0.35">
      <c r="M189" s="2" t="str">
        <f t="shared" si="5"/>
        <v/>
      </c>
    </row>
    <row r="190" spans="13:13" ht="15" customHeight="1" x14ac:dyDescent="0.35">
      <c r="M190" s="2" t="str">
        <f t="shared" si="5"/>
        <v/>
      </c>
    </row>
    <row r="191" spans="13:13" ht="15" customHeight="1" x14ac:dyDescent="0.35">
      <c r="M191" s="2" t="str">
        <f t="shared" si="5"/>
        <v/>
      </c>
    </row>
    <row r="192" spans="13:13" ht="15" customHeight="1" x14ac:dyDescent="0.35">
      <c r="M192" s="2" t="str">
        <f t="shared" si="5"/>
        <v/>
      </c>
    </row>
    <row r="193" spans="13:13" ht="15" customHeight="1" x14ac:dyDescent="0.35">
      <c r="M193" s="2" t="str">
        <f t="shared" si="5"/>
        <v/>
      </c>
    </row>
    <row r="194" spans="13:13" ht="15" customHeight="1" x14ac:dyDescent="0.35">
      <c r="M194" s="2" t="str">
        <f t="shared" si="5"/>
        <v/>
      </c>
    </row>
    <row r="195" spans="13:13" ht="15" customHeight="1" x14ac:dyDescent="0.35">
      <c r="M195" s="2" t="str">
        <f t="shared" si="5"/>
        <v/>
      </c>
    </row>
    <row r="196" spans="13:13" ht="15" customHeight="1" x14ac:dyDescent="0.35">
      <c r="M196" s="2" t="str">
        <f t="shared" si="5"/>
        <v/>
      </c>
    </row>
    <row r="197" spans="13:13" ht="15" customHeight="1" x14ac:dyDescent="0.35">
      <c r="M197" s="2" t="str">
        <f t="shared" si="5"/>
        <v/>
      </c>
    </row>
    <row r="198" spans="13:13" ht="15" customHeight="1" x14ac:dyDescent="0.35">
      <c r="M198" s="2" t="str">
        <f t="shared" si="5"/>
        <v/>
      </c>
    </row>
    <row r="199" spans="13:13" ht="15" customHeight="1" x14ac:dyDescent="0.35">
      <c r="M199" s="2" t="str">
        <f t="shared" si="5"/>
        <v/>
      </c>
    </row>
    <row r="200" spans="13:13" ht="15" customHeight="1" x14ac:dyDescent="0.35">
      <c r="M200" s="2" t="str">
        <f t="shared" si="5"/>
        <v/>
      </c>
    </row>
  </sheetData>
  <conditionalFormatting sqref="M4:M200">
    <cfRule type="expression" dxfId="7" priority="2">
      <formula>AND(M4&lt;&gt;"",M4&lt;&gt;"OK")</formula>
    </cfRule>
    <cfRule type="expression" dxfId="6" priority="3">
      <formula>M4="OK"</formula>
    </cfRule>
  </conditionalFormatting>
  <dataValidations count="7">
    <dataValidation type="list" errorStyle="warning" allowBlank="1" sqref="B4:B200" xr:uid="{00000000-0002-0000-0800-000000000000}">
      <formula1>UsersList</formula1>
      <formula2>0</formula2>
    </dataValidation>
    <dataValidation type="list" errorStyle="warning" allowBlank="1" sqref="C4:C200" xr:uid="{00000000-0002-0000-0800-000001000000}">
      <formula1>BusinessGroupsList</formula1>
      <formula2>0</formula2>
    </dataValidation>
    <dataValidation type="list" errorStyle="warning" allowBlank="1" sqref="D4:D200" xr:uid="{00000000-0002-0000-0800-000002000000}">
      <formula1>RegionsList</formula1>
      <formula2>0</formula2>
    </dataValidation>
    <dataValidation type="list" errorStyle="warning" allowBlank="1" sqref="E4:E200" xr:uid="{00000000-0002-0000-0800-000003000000}">
      <formula1>OutletsList</formula1>
      <formula2>0</formula2>
    </dataValidation>
    <dataValidation type="list" errorStyle="warning" allowBlank="1" sqref="F4:F200" xr:uid="{00000000-0002-0000-0800-000004000000}">
      <formula1>"Customer,Distributor,End User"</formula1>
      <formula2>0</formula2>
    </dataValidation>
    <dataValidation type="list" errorStyle="warning" allowBlank="1" sqref="I4:I200" xr:uid="{00000000-0002-0000-0800-000005000000}">
      <formula1>"Positive,Neutral,Negative"</formula1>
      <formula2>0</formula2>
    </dataValidation>
    <dataValidation type="whole" allowBlank="1" showErrorMessage="1" errorTitle="Invalid score" error="Satisfaction Score must be a whole number from 1 to 5." sqref="H4:H200" xr:uid="{00000000-0002-0000-0800-000006000000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0"/>
  <sheetViews>
    <sheetView topLeftCell="D1" workbookViewId="0">
      <selection activeCell="I11" sqref="I11"/>
    </sheetView>
  </sheetViews>
  <sheetFormatPr defaultColWidth="8.7265625" defaultRowHeight="14.5" x14ac:dyDescent="0.35"/>
  <cols>
    <col min="1" max="1" width="17.1796875" style="1" customWidth="1"/>
    <col min="2" max="2" width="18" style="1" customWidth="1"/>
    <col min="3" max="3" width="26" style="1" customWidth="1"/>
    <col min="4" max="4" width="24.54296875" style="1" customWidth="1"/>
    <col min="5" max="5" width="17.54296875" style="1" customWidth="1"/>
    <col min="6" max="6" width="24" style="1" customWidth="1"/>
    <col min="7" max="7" width="26" style="1" customWidth="1"/>
    <col min="8" max="8" width="14" style="1" customWidth="1"/>
    <col min="9" max="10" width="16" style="1" customWidth="1"/>
    <col min="11" max="11" width="30" style="1" customWidth="1"/>
    <col min="12" max="12" width="32" style="1" customWidth="1"/>
  </cols>
  <sheetData>
    <row r="1" spans="1:12" s="17" customFormat="1" ht="15" customHeight="1" x14ac:dyDescent="0.35">
      <c r="A1" s="52" t="s">
        <v>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33" customHeight="1" x14ac:dyDescent="0.35">
      <c r="A2" s="53" t="s">
        <v>152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19" customFormat="1" ht="15" customHeight="1" x14ac:dyDescent="0.35">
      <c r="A3" s="49" t="s">
        <v>153</v>
      </c>
      <c r="B3" s="49" t="s">
        <v>89</v>
      </c>
      <c r="C3" s="49" t="s">
        <v>126</v>
      </c>
      <c r="D3" s="49" t="s">
        <v>154</v>
      </c>
      <c r="E3" s="49" t="s">
        <v>90</v>
      </c>
      <c r="F3" s="49" t="s">
        <v>91</v>
      </c>
      <c r="G3" s="49" t="s">
        <v>155</v>
      </c>
      <c r="H3" s="49" t="s">
        <v>156</v>
      </c>
      <c r="I3" s="49" t="s">
        <v>157</v>
      </c>
      <c r="J3" s="49" t="s">
        <v>158</v>
      </c>
      <c r="K3" s="49" t="s">
        <v>48</v>
      </c>
      <c r="L3" s="49" t="s">
        <v>50</v>
      </c>
    </row>
    <row r="4" spans="1:12" ht="15" customHeight="1" x14ac:dyDescent="0.35">
      <c r="A4" s="34">
        <v>46249</v>
      </c>
      <c r="B4" s="35" t="s">
        <v>58</v>
      </c>
      <c r="C4" s="35" t="s">
        <v>204</v>
      </c>
      <c r="D4" s="35" t="s">
        <v>160</v>
      </c>
      <c r="E4" s="35" t="s">
        <v>55</v>
      </c>
      <c r="F4" s="35" t="s">
        <v>438</v>
      </c>
      <c r="G4" s="35" t="s">
        <v>438</v>
      </c>
      <c r="H4" s="35">
        <v>1200</v>
      </c>
      <c r="I4" s="54">
        <v>16.3</v>
      </c>
      <c r="J4" s="54">
        <f>H4*I4</f>
        <v>19560</v>
      </c>
      <c r="K4" s="35" t="s">
        <v>161</v>
      </c>
      <c r="L4" s="35" t="str">
        <f t="shared" ref="L4:L35" si="0">IF($A4="","",IF(OR($A4="",$B4="",$C4="",$E4="",$F4="",$H4="",$I4=""),"Missing required field",IF(OR(NOT(ISNUMBER($H4)),$H4&lt;=0,NOT(ISNUMBER($I4)),$I4&lt;=0),"Quantity/Price must be a positive number",IF(COUNTIFS($A$4:$A$200,$A4,$B$4:$B$200,$B4,$C$4:$C$200,$C4,$F$4:$F$200,$F4)&gt;1,"Duplicate entry for this week/group/product/outlet","OK"))))</f>
        <v>OK</v>
      </c>
    </row>
    <row r="5" spans="1:12" ht="15" customHeight="1" x14ac:dyDescent="0.35">
      <c r="A5" s="34">
        <v>46250</v>
      </c>
      <c r="B5" s="48" t="s">
        <v>58</v>
      </c>
      <c r="C5" s="48" t="s">
        <v>439</v>
      </c>
      <c r="D5" s="35" t="s">
        <v>160</v>
      </c>
      <c r="E5" s="48" t="s">
        <v>431</v>
      </c>
      <c r="F5" s="48" t="s">
        <v>442</v>
      </c>
      <c r="G5" s="48" t="s">
        <v>444</v>
      </c>
      <c r="H5" s="48">
        <v>2000</v>
      </c>
      <c r="I5" s="48">
        <v>16.3</v>
      </c>
      <c r="J5" s="56">
        <f t="shared" ref="J5:J36" si="1">IF(AND(H5&lt;&gt;"",I5&lt;&gt;""),H5*I5,"")</f>
        <v>32600</v>
      </c>
      <c r="K5" s="48"/>
      <c r="L5" s="30" t="str">
        <f t="shared" si="0"/>
        <v>OK</v>
      </c>
    </row>
    <row r="6" spans="1:12" ht="15" customHeight="1" x14ac:dyDescent="0.35">
      <c r="A6" s="34">
        <v>46251</v>
      </c>
      <c r="B6" s="48" t="s">
        <v>58</v>
      </c>
      <c r="C6" s="48" t="s">
        <v>441</v>
      </c>
      <c r="D6" s="35" t="s">
        <v>160</v>
      </c>
      <c r="E6" s="48" t="s">
        <v>430</v>
      </c>
      <c r="F6" s="48" t="s">
        <v>443</v>
      </c>
      <c r="G6" s="48" t="s">
        <v>445</v>
      </c>
      <c r="H6" s="48">
        <v>30000</v>
      </c>
      <c r="I6" s="48">
        <v>16.3</v>
      </c>
      <c r="J6" s="56">
        <f t="shared" si="1"/>
        <v>489000</v>
      </c>
      <c r="K6" s="48"/>
      <c r="L6" s="30" t="str">
        <f t="shared" si="0"/>
        <v>OK</v>
      </c>
    </row>
    <row r="7" spans="1:12" ht="15" customHeight="1" x14ac:dyDescent="0.35">
      <c r="A7" s="34">
        <v>46252</v>
      </c>
      <c r="B7" s="48" t="s">
        <v>74</v>
      </c>
      <c r="C7" s="48" t="s">
        <v>423</v>
      </c>
      <c r="D7" s="35" t="s">
        <v>440</v>
      </c>
      <c r="E7" s="48" t="s">
        <v>431</v>
      </c>
      <c r="F7" s="48" t="s">
        <v>446</v>
      </c>
      <c r="G7" s="48" t="s">
        <v>376</v>
      </c>
      <c r="H7" s="48">
        <v>500</v>
      </c>
      <c r="I7" s="48">
        <v>266.14999999999998</v>
      </c>
      <c r="J7" s="56">
        <f t="shared" si="1"/>
        <v>133075</v>
      </c>
      <c r="K7" s="48"/>
      <c r="L7" s="30" t="str">
        <f t="shared" si="0"/>
        <v>OK</v>
      </c>
    </row>
    <row r="8" spans="1:12" ht="15" customHeight="1" x14ac:dyDescent="0.35">
      <c r="A8" s="34">
        <v>46253</v>
      </c>
      <c r="B8" s="48" t="s">
        <v>74</v>
      </c>
      <c r="C8" s="48" t="s">
        <v>434</v>
      </c>
      <c r="D8" s="35" t="s">
        <v>440</v>
      </c>
      <c r="E8" s="48" t="s">
        <v>362</v>
      </c>
      <c r="F8" s="48" t="s">
        <v>447</v>
      </c>
      <c r="G8" s="48" t="s">
        <v>448</v>
      </c>
      <c r="H8" s="48">
        <v>400</v>
      </c>
      <c r="I8" s="48">
        <v>398.74</v>
      </c>
      <c r="J8" s="56">
        <f t="shared" si="1"/>
        <v>159496</v>
      </c>
      <c r="K8" s="48"/>
      <c r="L8" s="30" t="str">
        <f t="shared" si="0"/>
        <v>OK</v>
      </c>
    </row>
    <row r="9" spans="1:12" ht="15" customHeight="1" x14ac:dyDescent="0.35">
      <c r="A9" s="55"/>
      <c r="B9" s="48"/>
      <c r="C9" s="48"/>
      <c r="D9" s="48"/>
      <c r="E9" s="48"/>
      <c r="F9" s="48"/>
      <c r="G9" s="48"/>
      <c r="H9" s="48"/>
      <c r="I9" s="48"/>
      <c r="J9" s="56" t="str">
        <f t="shared" si="1"/>
        <v/>
      </c>
      <c r="K9" s="48"/>
      <c r="L9" s="30" t="str">
        <f t="shared" si="0"/>
        <v/>
      </c>
    </row>
    <row r="10" spans="1:12" ht="15" customHeight="1" x14ac:dyDescent="0.35">
      <c r="A10" s="55"/>
      <c r="B10" s="48"/>
      <c r="C10" s="48"/>
      <c r="D10" s="48"/>
      <c r="E10" s="48"/>
      <c r="F10" s="48"/>
      <c r="G10" s="48"/>
      <c r="H10" s="48"/>
      <c r="I10" s="48"/>
      <c r="J10" s="56" t="str">
        <f t="shared" si="1"/>
        <v/>
      </c>
      <c r="K10" s="48"/>
      <c r="L10" s="30" t="str">
        <f t="shared" si="0"/>
        <v/>
      </c>
    </row>
    <row r="11" spans="1:12" ht="15" customHeight="1" x14ac:dyDescent="0.35">
      <c r="A11" s="55"/>
      <c r="B11" s="48"/>
      <c r="C11" s="48"/>
      <c r="D11" s="48"/>
      <c r="E11" s="48"/>
      <c r="F11" s="48"/>
      <c r="G11" s="48"/>
      <c r="H11" s="48"/>
      <c r="I11" s="48"/>
      <c r="J11" s="56" t="str">
        <f t="shared" si="1"/>
        <v/>
      </c>
      <c r="K11" s="48"/>
      <c r="L11" s="30" t="str">
        <f t="shared" si="0"/>
        <v/>
      </c>
    </row>
    <row r="12" spans="1:12" ht="15" customHeight="1" x14ac:dyDescent="0.35">
      <c r="A12" s="55"/>
      <c r="B12" s="48"/>
      <c r="C12" s="48"/>
      <c r="D12" s="48"/>
      <c r="E12" s="48"/>
      <c r="F12" s="48"/>
      <c r="G12" s="48"/>
      <c r="H12" s="48"/>
      <c r="I12" s="48"/>
      <c r="J12" s="56" t="str">
        <f t="shared" si="1"/>
        <v/>
      </c>
      <c r="K12" s="48"/>
      <c r="L12" s="30" t="str">
        <f t="shared" si="0"/>
        <v/>
      </c>
    </row>
    <row r="13" spans="1:12" ht="15" customHeight="1" x14ac:dyDescent="0.35">
      <c r="A13" s="55"/>
      <c r="B13" s="48"/>
      <c r="C13" s="48"/>
      <c r="D13" s="48"/>
      <c r="E13" s="48"/>
      <c r="F13" s="48"/>
      <c r="G13" s="48"/>
      <c r="H13" s="48"/>
      <c r="I13" s="48"/>
      <c r="J13" s="56" t="str">
        <f t="shared" si="1"/>
        <v/>
      </c>
      <c r="K13" s="48"/>
      <c r="L13" s="30" t="str">
        <f t="shared" si="0"/>
        <v/>
      </c>
    </row>
    <row r="14" spans="1:12" ht="15" customHeight="1" x14ac:dyDescent="0.35">
      <c r="A14" s="55"/>
      <c r="B14" s="48"/>
      <c r="C14" s="48"/>
      <c r="D14" s="48"/>
      <c r="E14" s="48"/>
      <c r="F14" s="48"/>
      <c r="G14" s="48"/>
      <c r="H14" s="48"/>
      <c r="I14" s="48"/>
      <c r="J14" s="56" t="str">
        <f t="shared" si="1"/>
        <v/>
      </c>
      <c r="K14" s="48"/>
      <c r="L14" s="30" t="str">
        <f t="shared" si="0"/>
        <v/>
      </c>
    </row>
    <row r="15" spans="1:12" ht="15" customHeight="1" x14ac:dyDescent="0.35">
      <c r="A15" s="55"/>
      <c r="B15" s="48"/>
      <c r="C15" s="48"/>
      <c r="D15" s="48"/>
      <c r="E15" s="48"/>
      <c r="F15" s="48"/>
      <c r="G15" s="48"/>
      <c r="H15" s="48"/>
      <c r="I15" s="48"/>
      <c r="J15" s="56" t="str">
        <f t="shared" si="1"/>
        <v/>
      </c>
      <c r="K15" s="48"/>
      <c r="L15" s="30" t="str">
        <f t="shared" si="0"/>
        <v/>
      </c>
    </row>
    <row r="16" spans="1:12" ht="15" customHeight="1" x14ac:dyDescent="0.35">
      <c r="A16" s="55"/>
      <c r="B16" s="48"/>
      <c r="C16" s="48"/>
      <c r="D16" s="48"/>
      <c r="E16" s="48"/>
      <c r="F16" s="48"/>
      <c r="G16" s="48"/>
      <c r="H16" s="48"/>
      <c r="I16" s="48"/>
      <c r="J16" s="56" t="str">
        <f t="shared" si="1"/>
        <v/>
      </c>
      <c r="K16" s="48"/>
      <c r="L16" s="30" t="str">
        <f t="shared" si="0"/>
        <v/>
      </c>
    </row>
    <row r="17" spans="1:12" ht="15" customHeight="1" x14ac:dyDescent="0.35">
      <c r="A17" s="55"/>
      <c r="B17" s="48"/>
      <c r="C17" s="48"/>
      <c r="D17" s="48"/>
      <c r="E17" s="48"/>
      <c r="F17" s="48"/>
      <c r="G17" s="48"/>
      <c r="H17" s="48"/>
      <c r="I17" s="48"/>
      <c r="J17" s="56" t="str">
        <f t="shared" si="1"/>
        <v/>
      </c>
      <c r="K17" s="48"/>
      <c r="L17" s="30" t="str">
        <f t="shared" si="0"/>
        <v/>
      </c>
    </row>
    <row r="18" spans="1:12" ht="15" customHeight="1" x14ac:dyDescent="0.35">
      <c r="A18" s="55"/>
      <c r="B18" s="48"/>
      <c r="C18" s="48"/>
      <c r="D18" s="48"/>
      <c r="E18" s="48"/>
      <c r="F18" s="48"/>
      <c r="G18" s="48"/>
      <c r="H18" s="48"/>
      <c r="I18" s="48"/>
      <c r="J18" s="56" t="str">
        <f t="shared" si="1"/>
        <v/>
      </c>
      <c r="K18" s="48"/>
      <c r="L18" s="30" t="str">
        <f t="shared" si="0"/>
        <v/>
      </c>
    </row>
    <row r="19" spans="1:12" ht="15" customHeight="1" x14ac:dyDescent="0.35">
      <c r="A19" s="55"/>
      <c r="B19" s="48"/>
      <c r="C19" s="48"/>
      <c r="D19" s="48"/>
      <c r="E19" s="48"/>
      <c r="F19" s="48"/>
      <c r="G19" s="48"/>
      <c r="H19" s="48"/>
      <c r="I19" s="48"/>
      <c r="J19" s="56" t="str">
        <f t="shared" si="1"/>
        <v/>
      </c>
      <c r="K19" s="48"/>
      <c r="L19" s="30" t="str">
        <f t="shared" si="0"/>
        <v/>
      </c>
    </row>
    <row r="20" spans="1:12" ht="15" customHeight="1" x14ac:dyDescent="0.35">
      <c r="A20" s="55"/>
      <c r="B20" s="48"/>
      <c r="C20" s="48"/>
      <c r="D20" s="48"/>
      <c r="E20" s="48"/>
      <c r="F20" s="48"/>
      <c r="G20" s="48"/>
      <c r="H20" s="48"/>
      <c r="I20" s="48"/>
      <c r="J20" s="56" t="str">
        <f t="shared" si="1"/>
        <v/>
      </c>
      <c r="K20" s="48"/>
      <c r="L20" s="30" t="str">
        <f t="shared" si="0"/>
        <v/>
      </c>
    </row>
    <row r="21" spans="1:12" ht="15" customHeight="1" x14ac:dyDescent="0.35">
      <c r="A21" s="55"/>
      <c r="B21" s="48"/>
      <c r="C21" s="48"/>
      <c r="D21" s="48"/>
      <c r="E21" s="48"/>
      <c r="F21" s="48"/>
      <c r="G21" s="48"/>
      <c r="H21" s="48"/>
      <c r="I21" s="48"/>
      <c r="J21" s="56" t="str">
        <f t="shared" si="1"/>
        <v/>
      </c>
      <c r="K21" s="48"/>
      <c r="L21" s="30" t="str">
        <f t="shared" si="0"/>
        <v/>
      </c>
    </row>
    <row r="22" spans="1:12" ht="15" customHeight="1" x14ac:dyDescent="0.35">
      <c r="A22" s="55"/>
      <c r="B22" s="48"/>
      <c r="C22" s="48"/>
      <c r="D22" s="48"/>
      <c r="E22" s="48"/>
      <c r="F22" s="48"/>
      <c r="G22" s="48"/>
      <c r="H22" s="48"/>
      <c r="I22" s="48"/>
      <c r="J22" s="56" t="str">
        <f t="shared" si="1"/>
        <v/>
      </c>
      <c r="K22" s="48"/>
      <c r="L22" s="30" t="str">
        <f t="shared" si="0"/>
        <v/>
      </c>
    </row>
    <row r="23" spans="1:12" ht="15" customHeight="1" x14ac:dyDescent="0.35">
      <c r="A23" s="7"/>
      <c r="J23" s="8" t="str">
        <f t="shared" si="1"/>
        <v/>
      </c>
      <c r="L23" s="2" t="str">
        <f t="shared" si="0"/>
        <v/>
      </c>
    </row>
    <row r="24" spans="1:12" ht="15" customHeight="1" x14ac:dyDescent="0.35">
      <c r="A24" s="7"/>
      <c r="J24" s="8" t="str">
        <f t="shared" si="1"/>
        <v/>
      </c>
      <c r="L24" s="2" t="str">
        <f t="shared" si="0"/>
        <v/>
      </c>
    </row>
    <row r="25" spans="1:12" ht="15" customHeight="1" x14ac:dyDescent="0.35">
      <c r="A25" s="7"/>
      <c r="J25" s="8" t="str">
        <f t="shared" si="1"/>
        <v/>
      </c>
      <c r="L25" s="2" t="str">
        <f t="shared" si="0"/>
        <v/>
      </c>
    </row>
    <row r="26" spans="1:12" ht="15" customHeight="1" x14ac:dyDescent="0.35">
      <c r="A26" s="7"/>
      <c r="J26" s="8" t="str">
        <f t="shared" si="1"/>
        <v/>
      </c>
      <c r="L26" s="2" t="str">
        <f t="shared" si="0"/>
        <v/>
      </c>
    </row>
    <row r="27" spans="1:12" ht="15" customHeight="1" x14ac:dyDescent="0.35">
      <c r="A27" s="7"/>
      <c r="J27" s="8" t="str">
        <f t="shared" si="1"/>
        <v/>
      </c>
      <c r="L27" s="2" t="str">
        <f t="shared" si="0"/>
        <v/>
      </c>
    </row>
    <row r="28" spans="1:12" ht="15" customHeight="1" x14ac:dyDescent="0.35">
      <c r="A28" s="7"/>
      <c r="J28" s="8" t="str">
        <f t="shared" si="1"/>
        <v/>
      </c>
      <c r="L28" s="2" t="str">
        <f t="shared" si="0"/>
        <v/>
      </c>
    </row>
    <row r="29" spans="1:12" ht="15" customHeight="1" x14ac:dyDescent="0.35">
      <c r="A29" s="7"/>
      <c r="J29" s="8" t="str">
        <f t="shared" si="1"/>
        <v/>
      </c>
      <c r="L29" s="2" t="str">
        <f t="shared" si="0"/>
        <v/>
      </c>
    </row>
    <row r="30" spans="1:12" ht="15" customHeight="1" x14ac:dyDescent="0.35">
      <c r="A30" s="7"/>
      <c r="J30" s="8" t="str">
        <f t="shared" si="1"/>
        <v/>
      </c>
      <c r="L30" s="2" t="str">
        <f t="shared" si="0"/>
        <v/>
      </c>
    </row>
    <row r="31" spans="1:12" ht="15" customHeight="1" x14ac:dyDescent="0.35">
      <c r="A31" s="7"/>
      <c r="J31" s="8" t="str">
        <f t="shared" si="1"/>
        <v/>
      </c>
      <c r="L31" s="2" t="str">
        <f t="shared" si="0"/>
        <v/>
      </c>
    </row>
    <row r="32" spans="1:12" ht="15" customHeight="1" x14ac:dyDescent="0.35">
      <c r="A32" s="7"/>
      <c r="J32" s="8" t="str">
        <f t="shared" si="1"/>
        <v/>
      </c>
      <c r="L32" s="2" t="str">
        <f t="shared" si="0"/>
        <v/>
      </c>
    </row>
    <row r="33" spans="1:12" ht="15" customHeight="1" x14ac:dyDescent="0.35">
      <c r="A33" s="7"/>
      <c r="J33" s="8" t="str">
        <f t="shared" si="1"/>
        <v/>
      </c>
      <c r="L33" s="2" t="str">
        <f t="shared" si="0"/>
        <v/>
      </c>
    </row>
    <row r="34" spans="1:12" ht="15" customHeight="1" x14ac:dyDescent="0.35">
      <c r="A34" s="7"/>
      <c r="J34" s="8" t="str">
        <f t="shared" si="1"/>
        <v/>
      </c>
      <c r="L34" s="2" t="str">
        <f t="shared" si="0"/>
        <v/>
      </c>
    </row>
    <row r="35" spans="1:12" ht="15" customHeight="1" x14ac:dyDescent="0.35">
      <c r="A35" s="7"/>
      <c r="J35" s="8" t="str">
        <f t="shared" si="1"/>
        <v/>
      </c>
      <c r="L35" s="2" t="str">
        <f t="shared" si="0"/>
        <v/>
      </c>
    </row>
    <row r="36" spans="1:12" ht="15" customHeight="1" x14ac:dyDescent="0.35">
      <c r="A36" s="7"/>
      <c r="J36" s="8" t="str">
        <f t="shared" si="1"/>
        <v/>
      </c>
      <c r="L36" s="2" t="str">
        <f t="shared" ref="L36:L67" si="2">IF($A36="","",IF(OR($A36="",$B36="",$C36="",$E36="",$F36="",$H36="",$I36=""),"Missing required field",IF(OR(NOT(ISNUMBER($H36)),$H36&lt;=0,NOT(ISNUMBER($I36)),$I36&lt;=0),"Quantity/Price must be a positive number",IF(COUNTIFS($A$4:$A$200,$A36,$B$4:$B$200,$B36,$C$4:$C$200,$C36,$F$4:$F$200,$F36)&gt;1,"Duplicate entry for this week/group/product/outlet","OK"))))</f>
        <v/>
      </c>
    </row>
    <row r="37" spans="1:12" ht="15" customHeight="1" x14ac:dyDescent="0.35">
      <c r="A37" s="7"/>
      <c r="J37" s="8" t="str">
        <f t="shared" ref="J37:J68" si="3">IF(AND(H37&lt;&gt;"",I37&lt;&gt;""),H37*I37,"")</f>
        <v/>
      </c>
      <c r="L37" s="2" t="str">
        <f t="shared" si="2"/>
        <v/>
      </c>
    </row>
    <row r="38" spans="1:12" ht="15" customHeight="1" x14ac:dyDescent="0.35">
      <c r="A38" s="7"/>
      <c r="J38" s="8" t="str">
        <f t="shared" si="3"/>
        <v/>
      </c>
      <c r="L38" s="2" t="str">
        <f t="shared" si="2"/>
        <v/>
      </c>
    </row>
    <row r="39" spans="1:12" ht="15" customHeight="1" x14ac:dyDescent="0.35">
      <c r="A39" s="7"/>
      <c r="J39" s="8" t="str">
        <f t="shared" si="3"/>
        <v/>
      </c>
      <c r="L39" s="2" t="str">
        <f t="shared" si="2"/>
        <v/>
      </c>
    </row>
    <row r="40" spans="1:12" ht="15" customHeight="1" x14ac:dyDescent="0.35">
      <c r="A40" s="7"/>
      <c r="J40" s="8" t="str">
        <f t="shared" si="3"/>
        <v/>
      </c>
      <c r="L40" s="2" t="str">
        <f t="shared" si="2"/>
        <v/>
      </c>
    </row>
    <row r="41" spans="1:12" ht="15" customHeight="1" x14ac:dyDescent="0.35">
      <c r="A41" s="7"/>
      <c r="J41" s="8" t="str">
        <f t="shared" si="3"/>
        <v/>
      </c>
      <c r="L41" s="2" t="str">
        <f t="shared" si="2"/>
        <v/>
      </c>
    </row>
    <row r="42" spans="1:12" ht="15" customHeight="1" x14ac:dyDescent="0.35">
      <c r="A42" s="7"/>
      <c r="J42" s="8" t="str">
        <f t="shared" si="3"/>
        <v/>
      </c>
      <c r="L42" s="2" t="str">
        <f t="shared" si="2"/>
        <v/>
      </c>
    </row>
    <row r="43" spans="1:12" ht="15" customHeight="1" x14ac:dyDescent="0.35">
      <c r="A43" s="7"/>
      <c r="J43" s="8" t="str">
        <f t="shared" si="3"/>
        <v/>
      </c>
      <c r="L43" s="2" t="str">
        <f t="shared" si="2"/>
        <v/>
      </c>
    </row>
    <row r="44" spans="1:12" ht="15" customHeight="1" x14ac:dyDescent="0.35">
      <c r="A44" s="7"/>
      <c r="J44" s="8" t="str">
        <f t="shared" si="3"/>
        <v/>
      </c>
      <c r="L44" s="2" t="str">
        <f t="shared" si="2"/>
        <v/>
      </c>
    </row>
    <row r="45" spans="1:12" ht="15" customHeight="1" x14ac:dyDescent="0.35">
      <c r="A45" s="7"/>
      <c r="J45" s="8" t="str">
        <f t="shared" si="3"/>
        <v/>
      </c>
      <c r="L45" s="2" t="str">
        <f t="shared" si="2"/>
        <v/>
      </c>
    </row>
    <row r="46" spans="1:12" ht="15" customHeight="1" x14ac:dyDescent="0.35">
      <c r="A46" s="7"/>
      <c r="J46" s="8" t="str">
        <f t="shared" si="3"/>
        <v/>
      </c>
      <c r="L46" s="2" t="str">
        <f t="shared" si="2"/>
        <v/>
      </c>
    </row>
    <row r="47" spans="1:12" ht="15" customHeight="1" x14ac:dyDescent="0.35">
      <c r="A47" s="7"/>
      <c r="J47" s="8" t="str">
        <f t="shared" si="3"/>
        <v/>
      </c>
      <c r="L47" s="2" t="str">
        <f t="shared" si="2"/>
        <v/>
      </c>
    </row>
    <row r="48" spans="1:12" ht="15" customHeight="1" x14ac:dyDescent="0.35">
      <c r="A48" s="7"/>
      <c r="J48" s="8" t="str">
        <f t="shared" si="3"/>
        <v/>
      </c>
      <c r="L48" s="2" t="str">
        <f t="shared" si="2"/>
        <v/>
      </c>
    </row>
    <row r="49" spans="1:12" ht="15" customHeight="1" x14ac:dyDescent="0.35">
      <c r="A49" s="7"/>
      <c r="J49" s="8" t="str">
        <f t="shared" si="3"/>
        <v/>
      </c>
      <c r="L49" s="2" t="str">
        <f t="shared" si="2"/>
        <v/>
      </c>
    </row>
    <row r="50" spans="1:12" ht="15" customHeight="1" x14ac:dyDescent="0.35">
      <c r="A50" s="7"/>
      <c r="J50" s="8" t="str">
        <f t="shared" si="3"/>
        <v/>
      </c>
      <c r="L50" s="2" t="str">
        <f t="shared" si="2"/>
        <v/>
      </c>
    </row>
    <row r="51" spans="1:12" ht="15" customHeight="1" x14ac:dyDescent="0.35">
      <c r="A51" s="7"/>
      <c r="J51" s="8" t="str">
        <f t="shared" si="3"/>
        <v/>
      </c>
      <c r="L51" s="2" t="str">
        <f t="shared" si="2"/>
        <v/>
      </c>
    </row>
    <row r="52" spans="1:12" ht="15" customHeight="1" x14ac:dyDescent="0.35">
      <c r="A52" s="7"/>
      <c r="J52" s="8" t="str">
        <f t="shared" si="3"/>
        <v/>
      </c>
      <c r="L52" s="2" t="str">
        <f t="shared" si="2"/>
        <v/>
      </c>
    </row>
    <row r="53" spans="1:12" ht="15" customHeight="1" x14ac:dyDescent="0.35">
      <c r="A53" s="7"/>
      <c r="J53" s="8" t="str">
        <f t="shared" si="3"/>
        <v/>
      </c>
      <c r="L53" s="2" t="str">
        <f t="shared" si="2"/>
        <v/>
      </c>
    </row>
    <row r="54" spans="1:12" ht="15" customHeight="1" x14ac:dyDescent="0.35">
      <c r="A54" s="7"/>
      <c r="J54" s="8" t="str">
        <f t="shared" si="3"/>
        <v/>
      </c>
      <c r="L54" s="2" t="str">
        <f t="shared" si="2"/>
        <v/>
      </c>
    </row>
    <row r="55" spans="1:12" ht="15" customHeight="1" x14ac:dyDescent="0.35">
      <c r="A55" s="7"/>
      <c r="J55" s="8" t="str">
        <f t="shared" si="3"/>
        <v/>
      </c>
      <c r="L55" s="2" t="str">
        <f t="shared" si="2"/>
        <v/>
      </c>
    </row>
    <row r="56" spans="1:12" ht="15" customHeight="1" x14ac:dyDescent="0.35">
      <c r="A56" s="7"/>
      <c r="J56" s="8" t="str">
        <f t="shared" si="3"/>
        <v/>
      </c>
      <c r="L56" s="2" t="str">
        <f t="shared" si="2"/>
        <v/>
      </c>
    </row>
    <row r="57" spans="1:12" ht="15" customHeight="1" x14ac:dyDescent="0.35">
      <c r="A57" s="7"/>
      <c r="J57" s="8" t="str">
        <f t="shared" si="3"/>
        <v/>
      </c>
      <c r="L57" s="2" t="str">
        <f t="shared" si="2"/>
        <v/>
      </c>
    </row>
    <row r="58" spans="1:12" ht="15" customHeight="1" x14ac:dyDescent="0.35">
      <c r="A58" s="7"/>
      <c r="J58" s="8" t="str">
        <f t="shared" si="3"/>
        <v/>
      </c>
      <c r="L58" s="2" t="str">
        <f t="shared" si="2"/>
        <v/>
      </c>
    </row>
    <row r="59" spans="1:12" ht="15" customHeight="1" x14ac:dyDescent="0.35">
      <c r="A59" s="7"/>
      <c r="J59" s="8" t="str">
        <f t="shared" si="3"/>
        <v/>
      </c>
      <c r="L59" s="2" t="str">
        <f t="shared" si="2"/>
        <v/>
      </c>
    </row>
    <row r="60" spans="1:12" ht="15" customHeight="1" x14ac:dyDescent="0.35">
      <c r="A60" s="7"/>
      <c r="J60" s="8" t="str">
        <f t="shared" si="3"/>
        <v/>
      </c>
      <c r="L60" s="2" t="str">
        <f t="shared" si="2"/>
        <v/>
      </c>
    </row>
    <row r="61" spans="1:12" ht="15" customHeight="1" x14ac:dyDescent="0.35">
      <c r="A61" s="7"/>
      <c r="J61" s="8" t="str">
        <f t="shared" si="3"/>
        <v/>
      </c>
      <c r="L61" s="2" t="str">
        <f t="shared" si="2"/>
        <v/>
      </c>
    </row>
    <row r="62" spans="1:12" ht="15" customHeight="1" x14ac:dyDescent="0.35">
      <c r="A62" s="7"/>
      <c r="J62" s="8" t="str">
        <f t="shared" si="3"/>
        <v/>
      </c>
      <c r="L62" s="2" t="str">
        <f t="shared" si="2"/>
        <v/>
      </c>
    </row>
    <row r="63" spans="1:12" ht="15" customHeight="1" x14ac:dyDescent="0.35">
      <c r="A63" s="7"/>
      <c r="J63" s="8" t="str">
        <f t="shared" si="3"/>
        <v/>
      </c>
      <c r="L63" s="2" t="str">
        <f t="shared" si="2"/>
        <v/>
      </c>
    </row>
    <row r="64" spans="1:12" ht="15" customHeight="1" x14ac:dyDescent="0.35">
      <c r="A64" s="7"/>
      <c r="J64" s="8" t="str">
        <f t="shared" si="3"/>
        <v/>
      </c>
      <c r="L64" s="2" t="str">
        <f t="shared" si="2"/>
        <v/>
      </c>
    </row>
    <row r="65" spans="1:12" ht="15" customHeight="1" x14ac:dyDescent="0.35">
      <c r="A65" s="7"/>
      <c r="J65" s="8" t="str">
        <f t="shared" si="3"/>
        <v/>
      </c>
      <c r="L65" s="2" t="str">
        <f t="shared" si="2"/>
        <v/>
      </c>
    </row>
    <row r="66" spans="1:12" ht="15" customHeight="1" x14ac:dyDescent="0.35">
      <c r="A66" s="7"/>
      <c r="J66" s="8" t="str">
        <f t="shared" si="3"/>
        <v/>
      </c>
      <c r="L66" s="2" t="str">
        <f t="shared" si="2"/>
        <v/>
      </c>
    </row>
    <row r="67" spans="1:12" ht="15" customHeight="1" x14ac:dyDescent="0.35">
      <c r="A67" s="7"/>
      <c r="J67" s="8" t="str">
        <f t="shared" si="3"/>
        <v/>
      </c>
      <c r="L67" s="2" t="str">
        <f t="shared" si="2"/>
        <v/>
      </c>
    </row>
    <row r="68" spans="1:12" ht="15" customHeight="1" x14ac:dyDescent="0.35">
      <c r="A68" s="7"/>
      <c r="J68" s="8" t="str">
        <f t="shared" si="3"/>
        <v/>
      </c>
      <c r="L68" s="2" t="str">
        <f t="shared" ref="L68:L99" si="4">IF($A68="","",IF(OR($A68="",$B68="",$C68="",$E68="",$F68="",$H68="",$I68=""),"Missing required field",IF(OR(NOT(ISNUMBER($H68)),$H68&lt;=0,NOT(ISNUMBER($I68)),$I68&lt;=0),"Quantity/Price must be a positive number",IF(COUNTIFS($A$4:$A$200,$A68,$B$4:$B$200,$B68,$C$4:$C$200,$C68,$F$4:$F$200,$F68)&gt;1,"Duplicate entry for this week/group/product/outlet","OK"))))</f>
        <v/>
      </c>
    </row>
    <row r="69" spans="1:12" ht="15" customHeight="1" x14ac:dyDescent="0.35">
      <c r="A69" s="7"/>
      <c r="J69" s="8" t="str">
        <f t="shared" ref="J69:J100" si="5">IF(AND(H69&lt;&gt;"",I69&lt;&gt;""),H69*I69,"")</f>
        <v/>
      </c>
      <c r="L69" s="2" t="str">
        <f t="shared" si="4"/>
        <v/>
      </c>
    </row>
    <row r="70" spans="1:12" ht="15" customHeight="1" x14ac:dyDescent="0.35">
      <c r="A70" s="7"/>
      <c r="J70" s="8" t="str">
        <f t="shared" si="5"/>
        <v/>
      </c>
      <c r="L70" s="2" t="str">
        <f t="shared" si="4"/>
        <v/>
      </c>
    </row>
    <row r="71" spans="1:12" ht="15" customHeight="1" x14ac:dyDescent="0.35">
      <c r="A71" s="7"/>
      <c r="J71" s="8" t="str">
        <f t="shared" si="5"/>
        <v/>
      </c>
      <c r="L71" s="2" t="str">
        <f t="shared" si="4"/>
        <v/>
      </c>
    </row>
    <row r="72" spans="1:12" ht="15" customHeight="1" x14ac:dyDescent="0.35">
      <c r="A72" s="7"/>
      <c r="J72" s="8" t="str">
        <f t="shared" si="5"/>
        <v/>
      </c>
      <c r="L72" s="2" t="str">
        <f t="shared" si="4"/>
        <v/>
      </c>
    </row>
    <row r="73" spans="1:12" ht="15" customHeight="1" x14ac:dyDescent="0.35">
      <c r="A73" s="7"/>
      <c r="J73" s="8" t="str">
        <f t="shared" si="5"/>
        <v/>
      </c>
      <c r="L73" s="2" t="str">
        <f t="shared" si="4"/>
        <v/>
      </c>
    </row>
    <row r="74" spans="1:12" ht="15" customHeight="1" x14ac:dyDescent="0.35">
      <c r="A74" s="7"/>
      <c r="J74" s="8" t="str">
        <f t="shared" si="5"/>
        <v/>
      </c>
      <c r="L74" s="2" t="str">
        <f t="shared" si="4"/>
        <v/>
      </c>
    </row>
    <row r="75" spans="1:12" ht="15" customHeight="1" x14ac:dyDescent="0.35">
      <c r="A75" s="7"/>
      <c r="J75" s="8" t="str">
        <f t="shared" si="5"/>
        <v/>
      </c>
      <c r="L75" s="2" t="str">
        <f t="shared" si="4"/>
        <v/>
      </c>
    </row>
    <row r="76" spans="1:12" ht="15" customHeight="1" x14ac:dyDescent="0.35">
      <c r="A76" s="7"/>
      <c r="J76" s="8" t="str">
        <f t="shared" si="5"/>
        <v/>
      </c>
      <c r="L76" s="2" t="str">
        <f t="shared" si="4"/>
        <v/>
      </c>
    </row>
    <row r="77" spans="1:12" ht="15" customHeight="1" x14ac:dyDescent="0.35">
      <c r="A77" s="7"/>
      <c r="J77" s="8" t="str">
        <f t="shared" si="5"/>
        <v/>
      </c>
      <c r="L77" s="2" t="str">
        <f t="shared" si="4"/>
        <v/>
      </c>
    </row>
    <row r="78" spans="1:12" ht="15" customHeight="1" x14ac:dyDescent="0.35">
      <c r="A78" s="7"/>
      <c r="J78" s="8" t="str">
        <f t="shared" si="5"/>
        <v/>
      </c>
      <c r="L78" s="2" t="str">
        <f t="shared" si="4"/>
        <v/>
      </c>
    </row>
    <row r="79" spans="1:12" ht="15" customHeight="1" x14ac:dyDescent="0.35">
      <c r="A79" s="7"/>
      <c r="J79" s="8" t="str">
        <f t="shared" si="5"/>
        <v/>
      </c>
      <c r="L79" s="2" t="str">
        <f t="shared" si="4"/>
        <v/>
      </c>
    </row>
    <row r="80" spans="1:12" ht="15" customHeight="1" x14ac:dyDescent="0.35">
      <c r="A80" s="7"/>
      <c r="J80" s="8" t="str">
        <f t="shared" si="5"/>
        <v/>
      </c>
      <c r="L80" s="2" t="str">
        <f t="shared" si="4"/>
        <v/>
      </c>
    </row>
    <row r="81" spans="1:12" ht="15" customHeight="1" x14ac:dyDescent="0.35">
      <c r="A81" s="7"/>
      <c r="J81" s="8" t="str">
        <f t="shared" si="5"/>
        <v/>
      </c>
      <c r="L81" s="2" t="str">
        <f t="shared" si="4"/>
        <v/>
      </c>
    </row>
    <row r="82" spans="1:12" ht="15" customHeight="1" x14ac:dyDescent="0.35">
      <c r="A82" s="7"/>
      <c r="J82" s="8" t="str">
        <f t="shared" si="5"/>
        <v/>
      </c>
      <c r="L82" s="2" t="str">
        <f t="shared" si="4"/>
        <v/>
      </c>
    </row>
    <row r="83" spans="1:12" ht="15" customHeight="1" x14ac:dyDescent="0.35">
      <c r="A83" s="7"/>
      <c r="J83" s="8" t="str">
        <f t="shared" si="5"/>
        <v/>
      </c>
      <c r="L83" s="2" t="str">
        <f t="shared" si="4"/>
        <v/>
      </c>
    </row>
    <row r="84" spans="1:12" ht="15" customHeight="1" x14ac:dyDescent="0.35">
      <c r="A84" s="7"/>
      <c r="J84" s="8" t="str">
        <f t="shared" si="5"/>
        <v/>
      </c>
      <c r="L84" s="2" t="str">
        <f t="shared" si="4"/>
        <v/>
      </c>
    </row>
    <row r="85" spans="1:12" ht="15" customHeight="1" x14ac:dyDescent="0.35">
      <c r="A85" s="7"/>
      <c r="J85" s="8" t="str">
        <f t="shared" si="5"/>
        <v/>
      </c>
      <c r="L85" s="2" t="str">
        <f t="shared" si="4"/>
        <v/>
      </c>
    </row>
    <row r="86" spans="1:12" ht="15" customHeight="1" x14ac:dyDescent="0.35">
      <c r="A86" s="7"/>
      <c r="J86" s="8" t="str">
        <f t="shared" si="5"/>
        <v/>
      </c>
      <c r="L86" s="2" t="str">
        <f t="shared" si="4"/>
        <v/>
      </c>
    </row>
    <row r="87" spans="1:12" ht="15" customHeight="1" x14ac:dyDescent="0.35">
      <c r="A87" s="7"/>
      <c r="J87" s="8" t="str">
        <f t="shared" si="5"/>
        <v/>
      </c>
      <c r="L87" s="2" t="str">
        <f t="shared" si="4"/>
        <v/>
      </c>
    </row>
    <row r="88" spans="1:12" ht="15" customHeight="1" x14ac:dyDescent="0.35">
      <c r="A88" s="7"/>
      <c r="J88" s="8" t="str">
        <f t="shared" si="5"/>
        <v/>
      </c>
      <c r="L88" s="2" t="str">
        <f t="shared" si="4"/>
        <v/>
      </c>
    </row>
    <row r="89" spans="1:12" ht="15" customHeight="1" x14ac:dyDescent="0.35">
      <c r="A89" s="7"/>
      <c r="J89" s="8" t="str">
        <f t="shared" si="5"/>
        <v/>
      </c>
      <c r="L89" s="2" t="str">
        <f t="shared" si="4"/>
        <v/>
      </c>
    </row>
    <row r="90" spans="1:12" ht="15" customHeight="1" x14ac:dyDescent="0.35">
      <c r="A90" s="7"/>
      <c r="J90" s="8" t="str">
        <f t="shared" si="5"/>
        <v/>
      </c>
      <c r="L90" s="2" t="str">
        <f t="shared" si="4"/>
        <v/>
      </c>
    </row>
    <row r="91" spans="1:12" ht="15" customHeight="1" x14ac:dyDescent="0.35">
      <c r="A91" s="7"/>
      <c r="J91" s="8" t="str">
        <f t="shared" si="5"/>
        <v/>
      </c>
      <c r="L91" s="2" t="str">
        <f t="shared" si="4"/>
        <v/>
      </c>
    </row>
    <row r="92" spans="1:12" ht="15" customHeight="1" x14ac:dyDescent="0.35">
      <c r="A92" s="7"/>
      <c r="J92" s="8" t="str">
        <f t="shared" si="5"/>
        <v/>
      </c>
      <c r="L92" s="2" t="str">
        <f t="shared" si="4"/>
        <v/>
      </c>
    </row>
    <row r="93" spans="1:12" ht="15" customHeight="1" x14ac:dyDescent="0.35">
      <c r="A93" s="7"/>
      <c r="J93" s="8" t="str">
        <f t="shared" si="5"/>
        <v/>
      </c>
      <c r="L93" s="2" t="str">
        <f t="shared" si="4"/>
        <v/>
      </c>
    </row>
    <row r="94" spans="1:12" ht="15" customHeight="1" x14ac:dyDescent="0.35">
      <c r="A94" s="7"/>
      <c r="J94" s="8" t="str">
        <f t="shared" si="5"/>
        <v/>
      </c>
      <c r="L94" s="2" t="str">
        <f t="shared" si="4"/>
        <v/>
      </c>
    </row>
    <row r="95" spans="1:12" ht="15" customHeight="1" x14ac:dyDescent="0.35">
      <c r="A95" s="7"/>
      <c r="J95" s="8" t="str">
        <f t="shared" si="5"/>
        <v/>
      </c>
      <c r="L95" s="2" t="str">
        <f t="shared" si="4"/>
        <v/>
      </c>
    </row>
    <row r="96" spans="1:12" ht="15" customHeight="1" x14ac:dyDescent="0.35">
      <c r="A96" s="7"/>
      <c r="J96" s="8" t="str">
        <f t="shared" si="5"/>
        <v/>
      </c>
      <c r="L96" s="2" t="str">
        <f t="shared" si="4"/>
        <v/>
      </c>
    </row>
    <row r="97" spans="1:12" ht="15" customHeight="1" x14ac:dyDescent="0.35">
      <c r="A97" s="7"/>
      <c r="J97" s="8" t="str">
        <f t="shared" si="5"/>
        <v/>
      </c>
      <c r="L97" s="2" t="str">
        <f t="shared" si="4"/>
        <v/>
      </c>
    </row>
    <row r="98" spans="1:12" ht="15" customHeight="1" x14ac:dyDescent="0.35">
      <c r="A98" s="7"/>
      <c r="J98" s="8" t="str">
        <f t="shared" si="5"/>
        <v/>
      </c>
      <c r="L98" s="2" t="str">
        <f t="shared" si="4"/>
        <v/>
      </c>
    </row>
    <row r="99" spans="1:12" ht="15" customHeight="1" x14ac:dyDescent="0.35">
      <c r="A99" s="7"/>
      <c r="J99" s="8" t="str">
        <f t="shared" si="5"/>
        <v/>
      </c>
      <c r="L99" s="2" t="str">
        <f t="shared" si="4"/>
        <v/>
      </c>
    </row>
    <row r="100" spans="1:12" ht="15" customHeight="1" x14ac:dyDescent="0.35">
      <c r="A100" s="7"/>
      <c r="J100" s="8" t="str">
        <f t="shared" si="5"/>
        <v/>
      </c>
      <c r="L100" s="2" t="str">
        <f t="shared" ref="L100:L131" si="6">IF($A100="","",IF(OR($A100="",$B100="",$C100="",$E100="",$F100="",$H100="",$I100=""),"Missing required field",IF(OR(NOT(ISNUMBER($H100)),$H100&lt;=0,NOT(ISNUMBER($I100)),$I100&lt;=0),"Quantity/Price must be a positive number",IF(COUNTIFS($A$4:$A$200,$A100,$B$4:$B$200,$B100,$C$4:$C$200,$C100,$F$4:$F$200,$F100)&gt;1,"Duplicate entry for this week/group/product/outlet","OK"))))</f>
        <v/>
      </c>
    </row>
    <row r="101" spans="1:12" ht="15" customHeight="1" x14ac:dyDescent="0.35">
      <c r="A101" s="7"/>
      <c r="J101" s="8" t="str">
        <f t="shared" ref="J101:J132" si="7">IF(AND(H101&lt;&gt;"",I101&lt;&gt;""),H101*I101,"")</f>
        <v/>
      </c>
      <c r="L101" s="2" t="str">
        <f t="shared" si="6"/>
        <v/>
      </c>
    </row>
    <row r="102" spans="1:12" ht="15" customHeight="1" x14ac:dyDescent="0.35">
      <c r="A102" s="7"/>
      <c r="J102" s="8" t="str">
        <f t="shared" si="7"/>
        <v/>
      </c>
      <c r="L102" s="2" t="str">
        <f t="shared" si="6"/>
        <v/>
      </c>
    </row>
    <row r="103" spans="1:12" ht="15" customHeight="1" x14ac:dyDescent="0.35">
      <c r="A103" s="7"/>
      <c r="J103" s="8" t="str">
        <f t="shared" si="7"/>
        <v/>
      </c>
      <c r="L103" s="2" t="str">
        <f t="shared" si="6"/>
        <v/>
      </c>
    </row>
    <row r="104" spans="1:12" ht="15" customHeight="1" x14ac:dyDescent="0.35">
      <c r="A104" s="7"/>
      <c r="J104" s="8" t="str">
        <f t="shared" si="7"/>
        <v/>
      </c>
      <c r="L104" s="2" t="str">
        <f t="shared" si="6"/>
        <v/>
      </c>
    </row>
    <row r="105" spans="1:12" ht="15" customHeight="1" x14ac:dyDescent="0.35">
      <c r="A105" s="7"/>
      <c r="J105" s="8" t="str">
        <f t="shared" si="7"/>
        <v/>
      </c>
      <c r="L105" s="2" t="str">
        <f t="shared" si="6"/>
        <v/>
      </c>
    </row>
    <row r="106" spans="1:12" ht="15" customHeight="1" x14ac:dyDescent="0.35">
      <c r="A106" s="7"/>
      <c r="J106" s="8" t="str">
        <f t="shared" si="7"/>
        <v/>
      </c>
      <c r="L106" s="2" t="str">
        <f t="shared" si="6"/>
        <v/>
      </c>
    </row>
    <row r="107" spans="1:12" ht="15" customHeight="1" x14ac:dyDescent="0.35">
      <c r="A107" s="7"/>
      <c r="J107" s="8" t="str">
        <f t="shared" si="7"/>
        <v/>
      </c>
      <c r="L107" s="2" t="str">
        <f t="shared" si="6"/>
        <v/>
      </c>
    </row>
    <row r="108" spans="1:12" ht="15" customHeight="1" x14ac:dyDescent="0.35">
      <c r="A108" s="7"/>
      <c r="J108" s="8" t="str">
        <f t="shared" si="7"/>
        <v/>
      </c>
      <c r="L108" s="2" t="str">
        <f t="shared" si="6"/>
        <v/>
      </c>
    </row>
    <row r="109" spans="1:12" ht="15" customHeight="1" x14ac:dyDescent="0.35">
      <c r="A109" s="7"/>
      <c r="J109" s="8" t="str">
        <f t="shared" si="7"/>
        <v/>
      </c>
      <c r="L109" s="2" t="str">
        <f t="shared" si="6"/>
        <v/>
      </c>
    </row>
    <row r="110" spans="1:12" ht="15" customHeight="1" x14ac:dyDescent="0.35">
      <c r="A110" s="7"/>
      <c r="J110" s="8" t="str">
        <f t="shared" si="7"/>
        <v/>
      </c>
      <c r="L110" s="2" t="str">
        <f t="shared" si="6"/>
        <v/>
      </c>
    </row>
    <row r="111" spans="1:12" ht="15" customHeight="1" x14ac:dyDescent="0.35">
      <c r="A111" s="7"/>
      <c r="J111" s="8" t="str">
        <f t="shared" si="7"/>
        <v/>
      </c>
      <c r="L111" s="2" t="str">
        <f t="shared" si="6"/>
        <v/>
      </c>
    </row>
    <row r="112" spans="1:12" ht="15" customHeight="1" x14ac:dyDescent="0.35">
      <c r="A112" s="7"/>
      <c r="J112" s="8" t="str">
        <f t="shared" si="7"/>
        <v/>
      </c>
      <c r="L112" s="2" t="str">
        <f t="shared" si="6"/>
        <v/>
      </c>
    </row>
    <row r="113" spans="1:12" ht="15" customHeight="1" x14ac:dyDescent="0.35">
      <c r="A113" s="7"/>
      <c r="J113" s="8" t="str">
        <f t="shared" si="7"/>
        <v/>
      </c>
      <c r="L113" s="2" t="str">
        <f t="shared" si="6"/>
        <v/>
      </c>
    </row>
    <row r="114" spans="1:12" ht="15" customHeight="1" x14ac:dyDescent="0.35">
      <c r="A114" s="7"/>
      <c r="J114" s="8" t="str">
        <f t="shared" si="7"/>
        <v/>
      </c>
      <c r="L114" s="2" t="str">
        <f t="shared" si="6"/>
        <v/>
      </c>
    </row>
    <row r="115" spans="1:12" ht="15" customHeight="1" x14ac:dyDescent="0.35">
      <c r="A115" s="7"/>
      <c r="J115" s="8" t="str">
        <f t="shared" si="7"/>
        <v/>
      </c>
      <c r="L115" s="2" t="str">
        <f t="shared" si="6"/>
        <v/>
      </c>
    </row>
    <row r="116" spans="1:12" ht="15" customHeight="1" x14ac:dyDescent="0.35">
      <c r="A116" s="7"/>
      <c r="J116" s="8" t="str">
        <f t="shared" si="7"/>
        <v/>
      </c>
      <c r="L116" s="2" t="str">
        <f t="shared" si="6"/>
        <v/>
      </c>
    </row>
    <row r="117" spans="1:12" ht="15" customHeight="1" x14ac:dyDescent="0.35">
      <c r="A117" s="7"/>
      <c r="J117" s="8" t="str">
        <f t="shared" si="7"/>
        <v/>
      </c>
      <c r="L117" s="2" t="str">
        <f t="shared" si="6"/>
        <v/>
      </c>
    </row>
    <row r="118" spans="1:12" ht="15" customHeight="1" x14ac:dyDescent="0.35">
      <c r="A118" s="7"/>
      <c r="J118" s="8" t="str">
        <f t="shared" si="7"/>
        <v/>
      </c>
      <c r="L118" s="2" t="str">
        <f t="shared" si="6"/>
        <v/>
      </c>
    </row>
    <row r="119" spans="1:12" ht="15" customHeight="1" x14ac:dyDescent="0.35">
      <c r="A119" s="7"/>
      <c r="J119" s="8" t="str">
        <f t="shared" si="7"/>
        <v/>
      </c>
      <c r="L119" s="2" t="str">
        <f t="shared" si="6"/>
        <v/>
      </c>
    </row>
    <row r="120" spans="1:12" ht="15" customHeight="1" x14ac:dyDescent="0.35">
      <c r="A120" s="7"/>
      <c r="J120" s="8" t="str">
        <f t="shared" si="7"/>
        <v/>
      </c>
      <c r="L120" s="2" t="str">
        <f t="shared" si="6"/>
        <v/>
      </c>
    </row>
    <row r="121" spans="1:12" ht="15" customHeight="1" x14ac:dyDescent="0.35">
      <c r="A121" s="7"/>
      <c r="J121" s="8" t="str">
        <f t="shared" si="7"/>
        <v/>
      </c>
      <c r="L121" s="2" t="str">
        <f t="shared" si="6"/>
        <v/>
      </c>
    </row>
    <row r="122" spans="1:12" ht="15" customHeight="1" x14ac:dyDescent="0.35">
      <c r="A122" s="7"/>
      <c r="J122" s="8" t="str">
        <f t="shared" si="7"/>
        <v/>
      </c>
      <c r="L122" s="2" t="str">
        <f t="shared" si="6"/>
        <v/>
      </c>
    </row>
    <row r="123" spans="1:12" ht="15" customHeight="1" x14ac:dyDescent="0.35">
      <c r="A123" s="7"/>
      <c r="J123" s="8" t="str">
        <f t="shared" si="7"/>
        <v/>
      </c>
      <c r="L123" s="2" t="str">
        <f t="shared" si="6"/>
        <v/>
      </c>
    </row>
    <row r="124" spans="1:12" ht="15" customHeight="1" x14ac:dyDescent="0.35">
      <c r="A124" s="7"/>
      <c r="J124" s="8" t="str">
        <f t="shared" si="7"/>
        <v/>
      </c>
      <c r="L124" s="2" t="str">
        <f t="shared" si="6"/>
        <v/>
      </c>
    </row>
    <row r="125" spans="1:12" ht="15" customHeight="1" x14ac:dyDescent="0.35">
      <c r="A125" s="7"/>
      <c r="J125" s="8" t="str">
        <f t="shared" si="7"/>
        <v/>
      </c>
      <c r="L125" s="2" t="str">
        <f t="shared" si="6"/>
        <v/>
      </c>
    </row>
    <row r="126" spans="1:12" ht="15" customHeight="1" x14ac:dyDescent="0.35">
      <c r="A126" s="7"/>
      <c r="J126" s="8" t="str">
        <f t="shared" si="7"/>
        <v/>
      </c>
      <c r="L126" s="2" t="str">
        <f t="shared" si="6"/>
        <v/>
      </c>
    </row>
    <row r="127" spans="1:12" ht="15" customHeight="1" x14ac:dyDescent="0.35">
      <c r="A127" s="7"/>
      <c r="J127" s="8" t="str">
        <f t="shared" si="7"/>
        <v/>
      </c>
      <c r="L127" s="2" t="str">
        <f t="shared" si="6"/>
        <v/>
      </c>
    </row>
    <row r="128" spans="1:12" ht="15" customHeight="1" x14ac:dyDescent="0.35">
      <c r="A128" s="7"/>
      <c r="J128" s="8" t="str">
        <f t="shared" si="7"/>
        <v/>
      </c>
      <c r="L128" s="2" t="str">
        <f t="shared" si="6"/>
        <v/>
      </c>
    </row>
    <row r="129" spans="1:12" ht="15" customHeight="1" x14ac:dyDescent="0.35">
      <c r="A129" s="7"/>
      <c r="J129" s="8" t="str">
        <f t="shared" si="7"/>
        <v/>
      </c>
      <c r="L129" s="2" t="str">
        <f t="shared" si="6"/>
        <v/>
      </c>
    </row>
    <row r="130" spans="1:12" ht="15" customHeight="1" x14ac:dyDescent="0.35">
      <c r="A130" s="7"/>
      <c r="J130" s="8" t="str">
        <f t="shared" si="7"/>
        <v/>
      </c>
      <c r="L130" s="2" t="str">
        <f t="shared" si="6"/>
        <v/>
      </c>
    </row>
    <row r="131" spans="1:12" ht="15" customHeight="1" x14ac:dyDescent="0.35">
      <c r="A131" s="7"/>
      <c r="J131" s="8" t="str">
        <f t="shared" si="7"/>
        <v/>
      </c>
      <c r="L131" s="2" t="str">
        <f t="shared" si="6"/>
        <v/>
      </c>
    </row>
    <row r="132" spans="1:12" ht="15" customHeight="1" x14ac:dyDescent="0.35">
      <c r="A132" s="7"/>
      <c r="J132" s="8" t="str">
        <f t="shared" si="7"/>
        <v/>
      </c>
      <c r="L132" s="2" t="str">
        <f t="shared" ref="L132:L163" si="8">IF($A132="","",IF(OR($A132="",$B132="",$C132="",$E132="",$F132="",$H132="",$I132=""),"Missing required field",IF(OR(NOT(ISNUMBER($H132)),$H132&lt;=0,NOT(ISNUMBER($I132)),$I132&lt;=0),"Quantity/Price must be a positive number",IF(COUNTIFS($A$4:$A$200,$A132,$B$4:$B$200,$B132,$C$4:$C$200,$C132,$F$4:$F$200,$F132)&gt;1,"Duplicate entry for this week/group/product/outlet","OK"))))</f>
        <v/>
      </c>
    </row>
    <row r="133" spans="1:12" ht="15" customHeight="1" x14ac:dyDescent="0.35">
      <c r="A133" s="7"/>
      <c r="J133" s="8" t="str">
        <f t="shared" ref="J133:J164" si="9">IF(AND(H133&lt;&gt;"",I133&lt;&gt;""),H133*I133,"")</f>
        <v/>
      </c>
      <c r="L133" s="2" t="str">
        <f t="shared" si="8"/>
        <v/>
      </c>
    </row>
    <row r="134" spans="1:12" ht="15" customHeight="1" x14ac:dyDescent="0.35">
      <c r="A134" s="7"/>
      <c r="J134" s="8" t="str">
        <f t="shared" si="9"/>
        <v/>
      </c>
      <c r="L134" s="2" t="str">
        <f t="shared" si="8"/>
        <v/>
      </c>
    </row>
    <row r="135" spans="1:12" ht="15" customHeight="1" x14ac:dyDescent="0.35">
      <c r="A135" s="7"/>
      <c r="J135" s="8" t="str">
        <f t="shared" si="9"/>
        <v/>
      </c>
      <c r="L135" s="2" t="str">
        <f t="shared" si="8"/>
        <v/>
      </c>
    </row>
    <row r="136" spans="1:12" ht="15" customHeight="1" x14ac:dyDescent="0.35">
      <c r="A136" s="7"/>
      <c r="J136" s="8" t="str">
        <f t="shared" si="9"/>
        <v/>
      </c>
      <c r="L136" s="2" t="str">
        <f t="shared" si="8"/>
        <v/>
      </c>
    </row>
    <row r="137" spans="1:12" ht="15" customHeight="1" x14ac:dyDescent="0.35">
      <c r="A137" s="7"/>
      <c r="J137" s="8" t="str">
        <f t="shared" si="9"/>
        <v/>
      </c>
      <c r="L137" s="2" t="str">
        <f t="shared" si="8"/>
        <v/>
      </c>
    </row>
    <row r="138" spans="1:12" ht="15" customHeight="1" x14ac:dyDescent="0.35">
      <c r="A138" s="7"/>
      <c r="J138" s="8" t="str">
        <f t="shared" si="9"/>
        <v/>
      </c>
      <c r="L138" s="2" t="str">
        <f t="shared" si="8"/>
        <v/>
      </c>
    </row>
    <row r="139" spans="1:12" ht="15" customHeight="1" x14ac:dyDescent="0.35">
      <c r="A139" s="7"/>
      <c r="J139" s="8" t="str">
        <f t="shared" si="9"/>
        <v/>
      </c>
      <c r="L139" s="2" t="str">
        <f t="shared" si="8"/>
        <v/>
      </c>
    </row>
    <row r="140" spans="1:12" ht="15" customHeight="1" x14ac:dyDescent="0.35">
      <c r="A140" s="7"/>
      <c r="J140" s="8" t="str">
        <f t="shared" si="9"/>
        <v/>
      </c>
      <c r="L140" s="2" t="str">
        <f t="shared" si="8"/>
        <v/>
      </c>
    </row>
    <row r="141" spans="1:12" ht="15" customHeight="1" x14ac:dyDescent="0.35">
      <c r="A141" s="7"/>
      <c r="J141" s="8" t="str">
        <f t="shared" si="9"/>
        <v/>
      </c>
      <c r="L141" s="2" t="str">
        <f t="shared" si="8"/>
        <v/>
      </c>
    </row>
    <row r="142" spans="1:12" ht="15" customHeight="1" x14ac:dyDescent="0.35">
      <c r="A142" s="7"/>
      <c r="J142" s="8" t="str">
        <f t="shared" si="9"/>
        <v/>
      </c>
      <c r="L142" s="2" t="str">
        <f t="shared" si="8"/>
        <v/>
      </c>
    </row>
    <row r="143" spans="1:12" ht="15" customHeight="1" x14ac:dyDescent="0.35">
      <c r="A143" s="7"/>
      <c r="J143" s="8" t="str">
        <f t="shared" si="9"/>
        <v/>
      </c>
      <c r="L143" s="2" t="str">
        <f t="shared" si="8"/>
        <v/>
      </c>
    </row>
    <row r="144" spans="1:12" ht="15" customHeight="1" x14ac:dyDescent="0.35">
      <c r="A144" s="7"/>
      <c r="J144" s="8" t="str">
        <f t="shared" si="9"/>
        <v/>
      </c>
      <c r="L144" s="2" t="str">
        <f t="shared" si="8"/>
        <v/>
      </c>
    </row>
    <row r="145" spans="1:12" ht="15" customHeight="1" x14ac:dyDescent="0.35">
      <c r="A145" s="7"/>
      <c r="J145" s="8" t="str">
        <f t="shared" si="9"/>
        <v/>
      </c>
      <c r="L145" s="2" t="str">
        <f t="shared" si="8"/>
        <v/>
      </c>
    </row>
    <row r="146" spans="1:12" ht="15" customHeight="1" x14ac:dyDescent="0.35">
      <c r="A146" s="7"/>
      <c r="J146" s="8" t="str">
        <f t="shared" si="9"/>
        <v/>
      </c>
      <c r="L146" s="2" t="str">
        <f t="shared" si="8"/>
        <v/>
      </c>
    </row>
    <row r="147" spans="1:12" ht="15" customHeight="1" x14ac:dyDescent="0.35">
      <c r="A147" s="7"/>
      <c r="J147" s="8" t="str">
        <f t="shared" si="9"/>
        <v/>
      </c>
      <c r="L147" s="2" t="str">
        <f t="shared" si="8"/>
        <v/>
      </c>
    </row>
    <row r="148" spans="1:12" ht="15" customHeight="1" x14ac:dyDescent="0.35">
      <c r="A148" s="7"/>
      <c r="J148" s="8" t="str">
        <f t="shared" si="9"/>
        <v/>
      </c>
      <c r="L148" s="2" t="str">
        <f t="shared" si="8"/>
        <v/>
      </c>
    </row>
    <row r="149" spans="1:12" ht="15" customHeight="1" x14ac:dyDescent="0.35">
      <c r="A149" s="7"/>
      <c r="J149" s="8" t="str">
        <f t="shared" si="9"/>
        <v/>
      </c>
      <c r="L149" s="2" t="str">
        <f t="shared" si="8"/>
        <v/>
      </c>
    </row>
    <row r="150" spans="1:12" ht="15" customHeight="1" x14ac:dyDescent="0.35">
      <c r="A150" s="7"/>
      <c r="J150" s="8" t="str">
        <f t="shared" si="9"/>
        <v/>
      </c>
      <c r="L150" s="2" t="str">
        <f t="shared" si="8"/>
        <v/>
      </c>
    </row>
    <row r="151" spans="1:12" ht="15" customHeight="1" x14ac:dyDescent="0.35">
      <c r="A151" s="7"/>
      <c r="J151" s="8" t="str">
        <f t="shared" si="9"/>
        <v/>
      </c>
      <c r="L151" s="2" t="str">
        <f t="shared" si="8"/>
        <v/>
      </c>
    </row>
    <row r="152" spans="1:12" ht="15" customHeight="1" x14ac:dyDescent="0.35">
      <c r="A152" s="7"/>
      <c r="J152" s="8" t="str">
        <f t="shared" si="9"/>
        <v/>
      </c>
      <c r="L152" s="2" t="str">
        <f t="shared" si="8"/>
        <v/>
      </c>
    </row>
    <row r="153" spans="1:12" ht="15" customHeight="1" x14ac:dyDescent="0.35">
      <c r="A153" s="7"/>
      <c r="J153" s="8" t="str">
        <f t="shared" si="9"/>
        <v/>
      </c>
      <c r="L153" s="2" t="str">
        <f t="shared" si="8"/>
        <v/>
      </c>
    </row>
    <row r="154" spans="1:12" ht="15" customHeight="1" x14ac:dyDescent="0.35">
      <c r="A154" s="7"/>
      <c r="J154" s="8" t="str">
        <f t="shared" si="9"/>
        <v/>
      </c>
      <c r="L154" s="2" t="str">
        <f t="shared" si="8"/>
        <v/>
      </c>
    </row>
    <row r="155" spans="1:12" ht="15" customHeight="1" x14ac:dyDescent="0.35">
      <c r="A155" s="7"/>
      <c r="J155" s="8" t="str">
        <f t="shared" si="9"/>
        <v/>
      </c>
      <c r="L155" s="2" t="str">
        <f t="shared" si="8"/>
        <v/>
      </c>
    </row>
    <row r="156" spans="1:12" ht="15" customHeight="1" x14ac:dyDescent="0.35">
      <c r="A156" s="7"/>
      <c r="J156" s="8" t="str">
        <f t="shared" si="9"/>
        <v/>
      </c>
      <c r="L156" s="2" t="str">
        <f t="shared" si="8"/>
        <v/>
      </c>
    </row>
    <row r="157" spans="1:12" ht="15" customHeight="1" x14ac:dyDescent="0.35">
      <c r="A157" s="7"/>
      <c r="J157" s="8" t="str">
        <f t="shared" si="9"/>
        <v/>
      </c>
      <c r="L157" s="2" t="str">
        <f t="shared" si="8"/>
        <v/>
      </c>
    </row>
    <row r="158" spans="1:12" ht="15" customHeight="1" x14ac:dyDescent="0.35">
      <c r="A158" s="7"/>
      <c r="J158" s="8" t="str">
        <f t="shared" si="9"/>
        <v/>
      </c>
      <c r="L158" s="2" t="str">
        <f t="shared" si="8"/>
        <v/>
      </c>
    </row>
    <row r="159" spans="1:12" ht="15" customHeight="1" x14ac:dyDescent="0.35">
      <c r="A159" s="7"/>
      <c r="J159" s="8" t="str">
        <f t="shared" si="9"/>
        <v/>
      </c>
      <c r="L159" s="2" t="str">
        <f t="shared" si="8"/>
        <v/>
      </c>
    </row>
    <row r="160" spans="1:12" ht="15" customHeight="1" x14ac:dyDescent="0.35">
      <c r="A160" s="7"/>
      <c r="J160" s="8" t="str">
        <f t="shared" si="9"/>
        <v/>
      </c>
      <c r="L160" s="2" t="str">
        <f t="shared" si="8"/>
        <v/>
      </c>
    </row>
    <row r="161" spans="1:12" ht="15" customHeight="1" x14ac:dyDescent="0.35">
      <c r="A161" s="7"/>
      <c r="J161" s="8" t="str">
        <f t="shared" si="9"/>
        <v/>
      </c>
      <c r="L161" s="2" t="str">
        <f t="shared" si="8"/>
        <v/>
      </c>
    </row>
    <row r="162" spans="1:12" ht="15" customHeight="1" x14ac:dyDescent="0.35">
      <c r="A162" s="7"/>
      <c r="J162" s="8" t="str">
        <f t="shared" si="9"/>
        <v/>
      </c>
      <c r="L162" s="2" t="str">
        <f t="shared" si="8"/>
        <v/>
      </c>
    </row>
    <row r="163" spans="1:12" ht="15" customHeight="1" x14ac:dyDescent="0.35">
      <c r="A163" s="7"/>
      <c r="J163" s="8" t="str">
        <f t="shared" si="9"/>
        <v/>
      </c>
      <c r="L163" s="2" t="str">
        <f t="shared" si="8"/>
        <v/>
      </c>
    </row>
    <row r="164" spans="1:12" ht="15" customHeight="1" x14ac:dyDescent="0.35">
      <c r="A164" s="7"/>
      <c r="J164" s="8" t="str">
        <f t="shared" si="9"/>
        <v/>
      </c>
      <c r="L164" s="2" t="str">
        <f t="shared" ref="L164:L200" si="10">IF($A164="","",IF(OR($A164="",$B164="",$C164="",$E164="",$F164="",$H164="",$I164=""),"Missing required field",IF(OR(NOT(ISNUMBER($H164)),$H164&lt;=0,NOT(ISNUMBER($I164)),$I164&lt;=0),"Quantity/Price must be a positive number",IF(COUNTIFS($A$4:$A$200,$A164,$B$4:$B$200,$B164,$C$4:$C$200,$C164,$F$4:$F$200,$F164)&gt;1,"Duplicate entry for this week/group/product/outlet","OK"))))</f>
        <v/>
      </c>
    </row>
    <row r="165" spans="1:12" ht="15" customHeight="1" x14ac:dyDescent="0.35">
      <c r="A165" s="7"/>
      <c r="J165" s="8" t="str">
        <f t="shared" ref="J165:J196" si="11">IF(AND(H165&lt;&gt;"",I165&lt;&gt;""),H165*I165,"")</f>
        <v/>
      </c>
      <c r="L165" s="2" t="str">
        <f t="shared" si="10"/>
        <v/>
      </c>
    </row>
    <row r="166" spans="1:12" ht="15" customHeight="1" x14ac:dyDescent="0.35">
      <c r="A166" s="7"/>
      <c r="J166" s="8" t="str">
        <f t="shared" si="11"/>
        <v/>
      </c>
      <c r="L166" s="2" t="str">
        <f t="shared" si="10"/>
        <v/>
      </c>
    </row>
    <row r="167" spans="1:12" ht="15" customHeight="1" x14ac:dyDescent="0.35">
      <c r="A167" s="7"/>
      <c r="J167" s="8" t="str">
        <f t="shared" si="11"/>
        <v/>
      </c>
      <c r="L167" s="2" t="str">
        <f t="shared" si="10"/>
        <v/>
      </c>
    </row>
    <row r="168" spans="1:12" ht="15" customHeight="1" x14ac:dyDescent="0.35">
      <c r="A168" s="7"/>
      <c r="J168" s="8" t="str">
        <f t="shared" si="11"/>
        <v/>
      </c>
      <c r="L168" s="2" t="str">
        <f t="shared" si="10"/>
        <v/>
      </c>
    </row>
    <row r="169" spans="1:12" ht="15" customHeight="1" x14ac:dyDescent="0.35">
      <c r="A169" s="7"/>
      <c r="J169" s="8" t="str">
        <f t="shared" si="11"/>
        <v/>
      </c>
      <c r="L169" s="2" t="str">
        <f t="shared" si="10"/>
        <v/>
      </c>
    </row>
    <row r="170" spans="1:12" ht="15" customHeight="1" x14ac:dyDescent="0.35">
      <c r="A170" s="7"/>
      <c r="J170" s="8" t="str">
        <f t="shared" si="11"/>
        <v/>
      </c>
      <c r="L170" s="2" t="str">
        <f t="shared" si="10"/>
        <v/>
      </c>
    </row>
    <row r="171" spans="1:12" ht="15" customHeight="1" x14ac:dyDescent="0.35">
      <c r="A171" s="7"/>
      <c r="J171" s="8" t="str">
        <f t="shared" si="11"/>
        <v/>
      </c>
      <c r="L171" s="2" t="str">
        <f t="shared" si="10"/>
        <v/>
      </c>
    </row>
    <row r="172" spans="1:12" ht="15" customHeight="1" x14ac:dyDescent="0.35">
      <c r="A172" s="7"/>
      <c r="J172" s="8" t="str">
        <f t="shared" si="11"/>
        <v/>
      </c>
      <c r="L172" s="2" t="str">
        <f t="shared" si="10"/>
        <v/>
      </c>
    </row>
    <row r="173" spans="1:12" ht="15" customHeight="1" x14ac:dyDescent="0.35">
      <c r="A173" s="7"/>
      <c r="J173" s="8" t="str">
        <f t="shared" si="11"/>
        <v/>
      </c>
      <c r="L173" s="2" t="str">
        <f t="shared" si="10"/>
        <v/>
      </c>
    </row>
    <row r="174" spans="1:12" ht="15" customHeight="1" x14ac:dyDescent="0.35">
      <c r="A174" s="7"/>
      <c r="J174" s="8" t="str">
        <f t="shared" si="11"/>
        <v/>
      </c>
      <c r="L174" s="2" t="str">
        <f t="shared" si="10"/>
        <v/>
      </c>
    </row>
    <row r="175" spans="1:12" ht="15" customHeight="1" x14ac:dyDescent="0.35">
      <c r="A175" s="7"/>
      <c r="J175" s="8" t="str">
        <f t="shared" si="11"/>
        <v/>
      </c>
      <c r="L175" s="2" t="str">
        <f t="shared" si="10"/>
        <v/>
      </c>
    </row>
    <row r="176" spans="1:12" ht="15" customHeight="1" x14ac:dyDescent="0.35">
      <c r="A176" s="7"/>
      <c r="J176" s="8" t="str">
        <f t="shared" si="11"/>
        <v/>
      </c>
      <c r="L176" s="2" t="str">
        <f t="shared" si="10"/>
        <v/>
      </c>
    </row>
    <row r="177" spans="1:12" ht="15" customHeight="1" x14ac:dyDescent="0.35">
      <c r="A177" s="7"/>
      <c r="J177" s="8" t="str">
        <f t="shared" si="11"/>
        <v/>
      </c>
      <c r="L177" s="2" t="str">
        <f t="shared" si="10"/>
        <v/>
      </c>
    </row>
    <row r="178" spans="1:12" ht="15" customHeight="1" x14ac:dyDescent="0.35">
      <c r="A178" s="7"/>
      <c r="J178" s="8" t="str">
        <f t="shared" si="11"/>
        <v/>
      </c>
      <c r="L178" s="2" t="str">
        <f t="shared" si="10"/>
        <v/>
      </c>
    </row>
    <row r="179" spans="1:12" ht="15" customHeight="1" x14ac:dyDescent="0.35">
      <c r="A179" s="7"/>
      <c r="J179" s="8" t="str">
        <f t="shared" si="11"/>
        <v/>
      </c>
      <c r="L179" s="2" t="str">
        <f t="shared" si="10"/>
        <v/>
      </c>
    </row>
    <row r="180" spans="1:12" ht="15" customHeight="1" x14ac:dyDescent="0.35">
      <c r="A180" s="7"/>
      <c r="J180" s="8" t="str">
        <f t="shared" si="11"/>
        <v/>
      </c>
      <c r="L180" s="2" t="str">
        <f t="shared" si="10"/>
        <v/>
      </c>
    </row>
    <row r="181" spans="1:12" ht="15" customHeight="1" x14ac:dyDescent="0.35">
      <c r="A181" s="7"/>
      <c r="J181" s="8" t="str">
        <f t="shared" si="11"/>
        <v/>
      </c>
      <c r="L181" s="2" t="str">
        <f t="shared" si="10"/>
        <v/>
      </c>
    </row>
    <row r="182" spans="1:12" ht="15" customHeight="1" x14ac:dyDescent="0.35">
      <c r="A182" s="7"/>
      <c r="J182" s="8" t="str">
        <f t="shared" si="11"/>
        <v/>
      </c>
      <c r="L182" s="2" t="str">
        <f t="shared" si="10"/>
        <v/>
      </c>
    </row>
    <row r="183" spans="1:12" ht="15" customHeight="1" x14ac:dyDescent="0.35">
      <c r="A183" s="7"/>
      <c r="J183" s="8" t="str">
        <f t="shared" si="11"/>
        <v/>
      </c>
      <c r="L183" s="2" t="str">
        <f t="shared" si="10"/>
        <v/>
      </c>
    </row>
    <row r="184" spans="1:12" ht="15" customHeight="1" x14ac:dyDescent="0.35">
      <c r="A184" s="7"/>
      <c r="J184" s="8" t="str">
        <f t="shared" si="11"/>
        <v/>
      </c>
      <c r="L184" s="2" t="str">
        <f t="shared" si="10"/>
        <v/>
      </c>
    </row>
    <row r="185" spans="1:12" ht="15" customHeight="1" x14ac:dyDescent="0.35">
      <c r="A185" s="7"/>
      <c r="J185" s="8" t="str">
        <f t="shared" si="11"/>
        <v/>
      </c>
      <c r="L185" s="2" t="str">
        <f t="shared" si="10"/>
        <v/>
      </c>
    </row>
    <row r="186" spans="1:12" ht="15" customHeight="1" x14ac:dyDescent="0.35">
      <c r="A186" s="7"/>
      <c r="J186" s="8" t="str">
        <f t="shared" si="11"/>
        <v/>
      </c>
      <c r="L186" s="2" t="str">
        <f t="shared" si="10"/>
        <v/>
      </c>
    </row>
    <row r="187" spans="1:12" ht="15" customHeight="1" x14ac:dyDescent="0.35">
      <c r="A187" s="7"/>
      <c r="J187" s="8" t="str">
        <f t="shared" si="11"/>
        <v/>
      </c>
      <c r="L187" s="2" t="str">
        <f t="shared" si="10"/>
        <v/>
      </c>
    </row>
    <row r="188" spans="1:12" ht="15" customHeight="1" x14ac:dyDescent="0.35">
      <c r="A188" s="7"/>
      <c r="J188" s="8" t="str">
        <f t="shared" si="11"/>
        <v/>
      </c>
      <c r="L188" s="2" t="str">
        <f t="shared" si="10"/>
        <v/>
      </c>
    </row>
    <row r="189" spans="1:12" ht="15" customHeight="1" x14ac:dyDescent="0.35">
      <c r="A189" s="7"/>
      <c r="J189" s="8" t="str">
        <f t="shared" si="11"/>
        <v/>
      </c>
      <c r="L189" s="2" t="str">
        <f t="shared" si="10"/>
        <v/>
      </c>
    </row>
    <row r="190" spans="1:12" ht="15" customHeight="1" x14ac:dyDescent="0.35">
      <c r="A190" s="7"/>
      <c r="J190" s="8" t="str">
        <f t="shared" si="11"/>
        <v/>
      </c>
      <c r="L190" s="2" t="str">
        <f t="shared" si="10"/>
        <v/>
      </c>
    </row>
    <row r="191" spans="1:12" ht="15" customHeight="1" x14ac:dyDescent="0.35">
      <c r="A191" s="7"/>
      <c r="J191" s="8" t="str">
        <f t="shared" si="11"/>
        <v/>
      </c>
      <c r="L191" s="2" t="str">
        <f t="shared" si="10"/>
        <v/>
      </c>
    </row>
    <row r="192" spans="1:12" ht="15" customHeight="1" x14ac:dyDescent="0.35">
      <c r="A192" s="7"/>
      <c r="J192" s="8" t="str">
        <f t="shared" si="11"/>
        <v/>
      </c>
      <c r="L192" s="2" t="str">
        <f t="shared" si="10"/>
        <v/>
      </c>
    </row>
    <row r="193" spans="1:12" ht="15" customHeight="1" x14ac:dyDescent="0.35">
      <c r="A193" s="7"/>
      <c r="J193" s="8" t="str">
        <f t="shared" si="11"/>
        <v/>
      </c>
      <c r="L193" s="2" t="str">
        <f t="shared" si="10"/>
        <v/>
      </c>
    </row>
    <row r="194" spans="1:12" ht="15" customHeight="1" x14ac:dyDescent="0.35">
      <c r="A194" s="7"/>
      <c r="J194" s="8" t="str">
        <f t="shared" si="11"/>
        <v/>
      </c>
      <c r="L194" s="2" t="str">
        <f t="shared" si="10"/>
        <v/>
      </c>
    </row>
    <row r="195" spans="1:12" ht="15" customHeight="1" x14ac:dyDescent="0.35">
      <c r="A195" s="7"/>
      <c r="J195" s="8" t="str">
        <f t="shared" si="11"/>
        <v/>
      </c>
      <c r="L195" s="2" t="str">
        <f t="shared" si="10"/>
        <v/>
      </c>
    </row>
    <row r="196" spans="1:12" ht="15" customHeight="1" x14ac:dyDescent="0.35">
      <c r="A196" s="7"/>
      <c r="J196" s="8" t="str">
        <f t="shared" si="11"/>
        <v/>
      </c>
      <c r="L196" s="2" t="str">
        <f t="shared" si="10"/>
        <v/>
      </c>
    </row>
    <row r="197" spans="1:12" ht="15" customHeight="1" x14ac:dyDescent="0.35">
      <c r="A197" s="7"/>
      <c r="J197" s="8" t="str">
        <f t="shared" ref="J197:J200" si="12">IF(AND(H197&lt;&gt;"",I197&lt;&gt;""),H197*I197,"")</f>
        <v/>
      </c>
      <c r="L197" s="2" t="str">
        <f t="shared" si="10"/>
        <v/>
      </c>
    </row>
    <row r="198" spans="1:12" ht="15" customHeight="1" x14ac:dyDescent="0.35">
      <c r="A198" s="7"/>
      <c r="J198" s="8" t="str">
        <f t="shared" si="12"/>
        <v/>
      </c>
      <c r="L198" s="2" t="str">
        <f t="shared" si="10"/>
        <v/>
      </c>
    </row>
    <row r="199" spans="1:12" ht="15" customHeight="1" x14ac:dyDescent="0.35">
      <c r="A199" s="7"/>
      <c r="J199" s="8" t="str">
        <f t="shared" si="12"/>
        <v/>
      </c>
      <c r="L199" s="2" t="str">
        <f t="shared" si="10"/>
        <v/>
      </c>
    </row>
    <row r="200" spans="1:12" ht="15" customHeight="1" x14ac:dyDescent="0.35">
      <c r="A200" s="7"/>
      <c r="J200" s="8" t="str">
        <f t="shared" si="12"/>
        <v/>
      </c>
      <c r="L200" s="2" t="str">
        <f t="shared" si="10"/>
        <v/>
      </c>
    </row>
  </sheetData>
  <phoneticPr fontId="35" type="noConversion"/>
  <conditionalFormatting sqref="L4:L200">
    <cfRule type="expression" dxfId="5" priority="2">
      <formula>AND(L4&lt;&gt;"",L4&lt;&gt;"OK")</formula>
    </cfRule>
    <cfRule type="expression" dxfId="4" priority="3">
      <formula>L4="OK"</formula>
    </cfRule>
  </conditionalFormatting>
  <dataValidations count="7">
    <dataValidation type="list" allowBlank="1" sqref="B4:B200" xr:uid="{00000000-0002-0000-0900-000000000000}">
      <formula1>BusinessGroupsList</formula1>
      <formula2>0</formula2>
    </dataValidation>
    <dataValidation type="list" allowBlank="1" sqref="E4:E200" xr:uid="{00000000-0002-0000-0900-000001000000}">
      <formula1>RegionsList</formula1>
      <formula2>0</formula2>
    </dataValidation>
    <dataValidation type="list" allowBlank="1" sqref="F4:F200" xr:uid="{00000000-0002-0000-0900-000002000000}">
      <formula1>OutletsList</formula1>
      <formula2>0</formula2>
    </dataValidation>
    <dataValidation type="list" allowBlank="1" sqref="C4:C200" xr:uid="{00000000-0002-0000-0900-000003000000}">
      <formula1>ProductsList</formula1>
      <formula2>0</formula2>
    </dataValidation>
    <dataValidation type="list" allowBlank="1" sqref="G4:G200" xr:uid="{00000000-0002-0000-0900-000004000000}">
      <formula1>CustomersList</formula1>
      <formula2>0</formula2>
    </dataValidation>
    <dataValidation type="decimal" operator="greaterThan" allowBlank="1" showErrorMessage="1" errorTitle="Invalid quantity" error="Quantity Sold must be a positive number." sqref="H4:H200" xr:uid="{00000000-0002-0000-0900-000005000000}">
      <formula1>0</formula1>
      <formula2>0</formula2>
    </dataValidation>
    <dataValidation type="decimal" operator="greaterThan" allowBlank="1" showErrorMessage="1" errorTitle="Invalid price" error="Unit Price must be a positive number." sqref="I4:I200" xr:uid="{00000000-0002-0000-0900-000006000000}">
      <formula1>0</formula1>
      <formula2>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00"/>
  <sheetViews>
    <sheetView topLeftCell="B1" workbookViewId="0">
      <selection activeCell="C12" sqref="C12"/>
    </sheetView>
  </sheetViews>
  <sheetFormatPr defaultColWidth="8.7265625" defaultRowHeight="14.5" x14ac:dyDescent="0.35"/>
  <cols>
    <col min="1" max="1" width="16" style="1" customWidth="1"/>
    <col min="2" max="2" width="14" style="1" customWidth="1"/>
    <col min="3" max="3" width="16" style="1" customWidth="1"/>
    <col min="4" max="4" width="14" style="1" customWidth="1"/>
    <col min="5" max="5" width="24" style="1" customWidth="1"/>
    <col min="6" max="6" width="16" style="1" customWidth="1"/>
    <col min="7" max="7" width="22" style="1" customWidth="1"/>
    <col min="8" max="8" width="30" style="1" customWidth="1"/>
    <col min="9" max="9" width="34" style="1" customWidth="1"/>
    <col min="10" max="11" width="30" style="1" customWidth="1"/>
    <col min="12" max="12" width="43.453125" style="1" customWidth="1"/>
    <col min="13" max="13" width="16.1796875" style="1" customWidth="1"/>
    <col min="14" max="14" width="28" style="1" customWidth="1"/>
    <col min="15" max="15" width="32" style="1" customWidth="1"/>
  </cols>
  <sheetData>
    <row r="1" spans="1:15" s="17" customFormat="1" ht="15" customHeight="1" x14ac:dyDescent="0.35">
      <c r="A1" s="15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5" customHeight="1" x14ac:dyDescent="0.35">
      <c r="A2" s="53" t="s">
        <v>162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s="12" customFormat="1" ht="15" customHeight="1" x14ac:dyDescent="0.35">
      <c r="A3" s="57" t="s">
        <v>163</v>
      </c>
      <c r="B3" s="57" t="s">
        <v>164</v>
      </c>
      <c r="C3" s="57" t="s">
        <v>89</v>
      </c>
      <c r="D3" s="57" t="s">
        <v>90</v>
      </c>
      <c r="E3" s="57" t="s">
        <v>136</v>
      </c>
      <c r="F3" s="57" t="s">
        <v>144</v>
      </c>
      <c r="G3" s="57" t="s">
        <v>165</v>
      </c>
      <c r="H3" s="57" t="s">
        <v>166</v>
      </c>
      <c r="I3" s="57" t="s">
        <v>167</v>
      </c>
      <c r="J3" s="57" t="s">
        <v>168</v>
      </c>
      <c r="K3" s="57" t="s">
        <v>169</v>
      </c>
      <c r="L3" s="57" t="s">
        <v>97</v>
      </c>
      <c r="M3" s="57" t="s">
        <v>170</v>
      </c>
      <c r="N3" s="57" t="s">
        <v>48</v>
      </c>
      <c r="O3" s="57" t="s">
        <v>50</v>
      </c>
    </row>
    <row r="4" spans="1:15" ht="15" customHeight="1" x14ac:dyDescent="0.35">
      <c r="A4" s="35" t="s">
        <v>171</v>
      </c>
      <c r="B4" s="34">
        <v>46244</v>
      </c>
      <c r="C4" s="35" t="s">
        <v>74</v>
      </c>
      <c r="D4" s="35" t="s">
        <v>55</v>
      </c>
      <c r="E4" s="35" t="s">
        <v>56</v>
      </c>
      <c r="F4" s="35" t="s">
        <v>172</v>
      </c>
      <c r="G4" s="35" t="s">
        <v>121</v>
      </c>
      <c r="H4" s="35" t="s">
        <v>173</v>
      </c>
      <c r="I4" s="35" t="s">
        <v>174</v>
      </c>
      <c r="J4" s="35" t="s">
        <v>175</v>
      </c>
      <c r="K4" s="35"/>
      <c r="L4" s="35"/>
      <c r="M4" s="35">
        <v>5</v>
      </c>
      <c r="N4" s="35" t="s">
        <v>176</v>
      </c>
      <c r="O4" s="35" t="str">
        <f t="shared" ref="O4:O35" si="0">IF($A4="","",IF(OR($A4="",$B4="",$C4="",$D4="",$F4="",$H4="",$I4="",$J4=""),"Missing required field",IF(AND($M4&lt;&gt;"",OR(NOT(ISNUMBER($M4)),$M4&lt;1,$M4&gt;5)),"Score must be 1-5","OK")))</f>
        <v>OK</v>
      </c>
    </row>
    <row r="5" spans="1:15" ht="15" customHeight="1" x14ac:dyDescent="0.3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30" t="str">
        <f t="shared" si="0"/>
        <v/>
      </c>
    </row>
    <row r="6" spans="1:15" ht="15" customHeight="1" x14ac:dyDescent="0.3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30" t="str">
        <f t="shared" si="0"/>
        <v/>
      </c>
    </row>
    <row r="7" spans="1:15" ht="15" customHeight="1" x14ac:dyDescent="0.3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30" t="str">
        <f t="shared" si="0"/>
        <v/>
      </c>
    </row>
    <row r="8" spans="1:15" ht="15" customHeight="1" x14ac:dyDescent="0.3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30" t="str">
        <f t="shared" si="0"/>
        <v/>
      </c>
    </row>
    <row r="9" spans="1:15" ht="15" customHeight="1" x14ac:dyDescent="0.3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30" t="str">
        <f t="shared" si="0"/>
        <v/>
      </c>
    </row>
    <row r="10" spans="1:15" ht="15" customHeight="1" x14ac:dyDescent="0.3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30" t="str">
        <f t="shared" si="0"/>
        <v/>
      </c>
    </row>
    <row r="11" spans="1:15" ht="15" customHeight="1" x14ac:dyDescent="0.3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30" t="str">
        <f t="shared" si="0"/>
        <v/>
      </c>
    </row>
    <row r="12" spans="1:15" ht="15" customHeight="1" x14ac:dyDescent="0.3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30" t="str">
        <f t="shared" si="0"/>
        <v/>
      </c>
    </row>
    <row r="13" spans="1:15" ht="15" customHeight="1" x14ac:dyDescent="0.3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30" t="str">
        <f t="shared" si="0"/>
        <v/>
      </c>
    </row>
    <row r="14" spans="1:15" ht="15" customHeight="1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30" t="str">
        <f t="shared" si="0"/>
        <v/>
      </c>
    </row>
    <row r="15" spans="1:15" ht="15" customHeight="1" x14ac:dyDescent="0.3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30" t="str">
        <f t="shared" si="0"/>
        <v/>
      </c>
    </row>
    <row r="16" spans="1:15" ht="15" customHeight="1" x14ac:dyDescent="0.3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30" t="str">
        <f t="shared" si="0"/>
        <v/>
      </c>
    </row>
    <row r="17" spans="1:15" ht="15" customHeight="1" x14ac:dyDescent="0.3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30" t="str">
        <f t="shared" si="0"/>
        <v/>
      </c>
    </row>
    <row r="18" spans="1:15" ht="15" customHeight="1" x14ac:dyDescent="0.3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30" t="str">
        <f t="shared" si="0"/>
        <v/>
      </c>
    </row>
    <row r="19" spans="1:15" ht="15" customHeight="1" x14ac:dyDescent="0.3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30" t="str">
        <f t="shared" si="0"/>
        <v/>
      </c>
    </row>
    <row r="20" spans="1:15" ht="15" customHeight="1" x14ac:dyDescent="0.3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30" t="str">
        <f t="shared" si="0"/>
        <v/>
      </c>
    </row>
    <row r="21" spans="1:15" ht="15" customHeight="1" x14ac:dyDescent="0.3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30" t="str">
        <f t="shared" si="0"/>
        <v/>
      </c>
    </row>
    <row r="22" spans="1:15" ht="15" customHeight="1" x14ac:dyDescent="0.35">
      <c r="O22" s="2" t="str">
        <f t="shared" si="0"/>
        <v/>
      </c>
    </row>
    <row r="23" spans="1:15" ht="15" customHeight="1" x14ac:dyDescent="0.35">
      <c r="O23" s="2" t="str">
        <f t="shared" si="0"/>
        <v/>
      </c>
    </row>
    <row r="24" spans="1:15" ht="15" customHeight="1" x14ac:dyDescent="0.35">
      <c r="O24" s="2" t="str">
        <f t="shared" si="0"/>
        <v/>
      </c>
    </row>
    <row r="25" spans="1:15" ht="15" customHeight="1" x14ac:dyDescent="0.35">
      <c r="O25" s="2" t="str">
        <f t="shared" si="0"/>
        <v/>
      </c>
    </row>
    <row r="26" spans="1:15" ht="15" customHeight="1" x14ac:dyDescent="0.35">
      <c r="O26" s="2" t="str">
        <f t="shared" si="0"/>
        <v/>
      </c>
    </row>
    <row r="27" spans="1:15" ht="15" customHeight="1" x14ac:dyDescent="0.35">
      <c r="O27" s="2" t="str">
        <f t="shared" si="0"/>
        <v/>
      </c>
    </row>
    <row r="28" spans="1:15" ht="15" customHeight="1" x14ac:dyDescent="0.35">
      <c r="O28" s="2" t="str">
        <f t="shared" si="0"/>
        <v/>
      </c>
    </row>
    <row r="29" spans="1:15" ht="15" customHeight="1" x14ac:dyDescent="0.35">
      <c r="O29" s="2" t="str">
        <f t="shared" si="0"/>
        <v/>
      </c>
    </row>
    <row r="30" spans="1:15" ht="15" customHeight="1" x14ac:dyDescent="0.35">
      <c r="O30" s="2" t="str">
        <f t="shared" si="0"/>
        <v/>
      </c>
    </row>
    <row r="31" spans="1:15" ht="15" customHeight="1" x14ac:dyDescent="0.35">
      <c r="O31" s="2" t="str">
        <f t="shared" si="0"/>
        <v/>
      </c>
    </row>
    <row r="32" spans="1:15" ht="15" customHeight="1" x14ac:dyDescent="0.35">
      <c r="O32" s="2" t="str">
        <f t="shared" si="0"/>
        <v/>
      </c>
    </row>
    <row r="33" spans="15:15" ht="15" customHeight="1" x14ac:dyDescent="0.35">
      <c r="O33" s="2" t="str">
        <f t="shared" si="0"/>
        <v/>
      </c>
    </row>
    <row r="34" spans="15:15" ht="15" customHeight="1" x14ac:dyDescent="0.35">
      <c r="O34" s="2" t="str">
        <f t="shared" si="0"/>
        <v/>
      </c>
    </row>
    <row r="35" spans="15:15" ht="15" customHeight="1" x14ac:dyDescent="0.35">
      <c r="O35" s="2" t="str">
        <f t="shared" si="0"/>
        <v/>
      </c>
    </row>
    <row r="36" spans="15:15" ht="15" customHeight="1" x14ac:dyDescent="0.35">
      <c r="O36" s="2" t="str">
        <f t="shared" ref="O36:O67" si="1">IF($A36="","",IF(OR($A36="",$B36="",$C36="",$D36="",$F36="",$H36="",$I36="",$J36=""),"Missing required field",IF(AND($M36&lt;&gt;"",OR(NOT(ISNUMBER($M36)),$M36&lt;1,$M36&gt;5)),"Score must be 1-5","OK")))</f>
        <v/>
      </c>
    </row>
    <row r="37" spans="15:15" ht="15" customHeight="1" x14ac:dyDescent="0.35">
      <c r="O37" s="2" t="str">
        <f t="shared" si="1"/>
        <v/>
      </c>
    </row>
    <row r="38" spans="15:15" ht="15" customHeight="1" x14ac:dyDescent="0.35">
      <c r="O38" s="2" t="str">
        <f t="shared" si="1"/>
        <v/>
      </c>
    </row>
    <row r="39" spans="15:15" ht="15" customHeight="1" x14ac:dyDescent="0.35">
      <c r="O39" s="2" t="str">
        <f t="shared" si="1"/>
        <v/>
      </c>
    </row>
    <row r="40" spans="15:15" ht="15" customHeight="1" x14ac:dyDescent="0.35">
      <c r="O40" s="2" t="str">
        <f t="shared" si="1"/>
        <v/>
      </c>
    </row>
    <row r="41" spans="15:15" ht="15" customHeight="1" x14ac:dyDescent="0.35">
      <c r="O41" s="2" t="str">
        <f t="shared" si="1"/>
        <v/>
      </c>
    </row>
    <row r="42" spans="15:15" ht="15" customHeight="1" x14ac:dyDescent="0.35">
      <c r="O42" s="2" t="str">
        <f t="shared" si="1"/>
        <v/>
      </c>
    </row>
    <row r="43" spans="15:15" ht="15" customHeight="1" x14ac:dyDescent="0.35">
      <c r="O43" s="2" t="str">
        <f t="shared" si="1"/>
        <v/>
      </c>
    </row>
    <row r="44" spans="15:15" ht="15" customHeight="1" x14ac:dyDescent="0.35">
      <c r="O44" s="2" t="str">
        <f t="shared" si="1"/>
        <v/>
      </c>
    </row>
    <row r="45" spans="15:15" ht="15" customHeight="1" x14ac:dyDescent="0.35">
      <c r="O45" s="2" t="str">
        <f t="shared" si="1"/>
        <v/>
      </c>
    </row>
    <row r="46" spans="15:15" ht="15" customHeight="1" x14ac:dyDescent="0.35">
      <c r="O46" s="2" t="str">
        <f t="shared" si="1"/>
        <v/>
      </c>
    </row>
    <row r="47" spans="15:15" ht="15" customHeight="1" x14ac:dyDescent="0.35">
      <c r="O47" s="2" t="str">
        <f t="shared" si="1"/>
        <v/>
      </c>
    </row>
    <row r="48" spans="15:15" ht="15" customHeight="1" x14ac:dyDescent="0.35">
      <c r="O48" s="2" t="str">
        <f t="shared" si="1"/>
        <v/>
      </c>
    </row>
    <row r="49" spans="15:15" ht="15" customHeight="1" x14ac:dyDescent="0.35">
      <c r="O49" s="2" t="str">
        <f t="shared" si="1"/>
        <v/>
      </c>
    </row>
    <row r="50" spans="15:15" ht="15" customHeight="1" x14ac:dyDescent="0.35">
      <c r="O50" s="2" t="str">
        <f t="shared" si="1"/>
        <v/>
      </c>
    </row>
    <row r="51" spans="15:15" ht="15" customHeight="1" x14ac:dyDescent="0.35">
      <c r="O51" s="2" t="str">
        <f t="shared" si="1"/>
        <v/>
      </c>
    </row>
    <row r="52" spans="15:15" ht="15" customHeight="1" x14ac:dyDescent="0.35">
      <c r="O52" s="2" t="str">
        <f t="shared" si="1"/>
        <v/>
      </c>
    </row>
    <row r="53" spans="15:15" ht="15" customHeight="1" x14ac:dyDescent="0.35">
      <c r="O53" s="2" t="str">
        <f t="shared" si="1"/>
        <v/>
      </c>
    </row>
    <row r="54" spans="15:15" ht="15" customHeight="1" x14ac:dyDescent="0.35">
      <c r="O54" s="2" t="str">
        <f t="shared" si="1"/>
        <v/>
      </c>
    </row>
    <row r="55" spans="15:15" ht="15" customHeight="1" x14ac:dyDescent="0.35">
      <c r="O55" s="2" t="str">
        <f t="shared" si="1"/>
        <v/>
      </c>
    </row>
    <row r="56" spans="15:15" ht="15" customHeight="1" x14ac:dyDescent="0.35">
      <c r="O56" s="2" t="str">
        <f t="shared" si="1"/>
        <v/>
      </c>
    </row>
    <row r="57" spans="15:15" ht="15" customHeight="1" x14ac:dyDescent="0.35">
      <c r="O57" s="2" t="str">
        <f t="shared" si="1"/>
        <v/>
      </c>
    </row>
    <row r="58" spans="15:15" ht="15" customHeight="1" x14ac:dyDescent="0.35">
      <c r="O58" s="2" t="str">
        <f t="shared" si="1"/>
        <v/>
      </c>
    </row>
    <row r="59" spans="15:15" ht="15" customHeight="1" x14ac:dyDescent="0.35">
      <c r="O59" s="2" t="str">
        <f t="shared" si="1"/>
        <v/>
      </c>
    </row>
    <row r="60" spans="15:15" ht="15" customHeight="1" x14ac:dyDescent="0.35">
      <c r="O60" s="2" t="str">
        <f t="shared" si="1"/>
        <v/>
      </c>
    </row>
    <row r="61" spans="15:15" ht="15" customHeight="1" x14ac:dyDescent="0.35">
      <c r="O61" s="2" t="str">
        <f t="shared" si="1"/>
        <v/>
      </c>
    </row>
    <row r="62" spans="15:15" ht="15" customHeight="1" x14ac:dyDescent="0.35">
      <c r="O62" s="2" t="str">
        <f t="shared" si="1"/>
        <v/>
      </c>
    </row>
    <row r="63" spans="15:15" ht="15" customHeight="1" x14ac:dyDescent="0.35">
      <c r="O63" s="2" t="str">
        <f t="shared" si="1"/>
        <v/>
      </c>
    </row>
    <row r="64" spans="15:15" ht="15" customHeight="1" x14ac:dyDescent="0.35">
      <c r="O64" s="2" t="str">
        <f t="shared" si="1"/>
        <v/>
      </c>
    </row>
    <row r="65" spans="15:15" ht="15" customHeight="1" x14ac:dyDescent="0.35">
      <c r="O65" s="2" t="str">
        <f t="shared" si="1"/>
        <v/>
      </c>
    </row>
    <row r="66" spans="15:15" ht="15" customHeight="1" x14ac:dyDescent="0.35">
      <c r="O66" s="2" t="str">
        <f t="shared" si="1"/>
        <v/>
      </c>
    </row>
    <row r="67" spans="15:15" ht="15" customHeight="1" x14ac:dyDescent="0.35">
      <c r="O67" s="2" t="str">
        <f t="shared" si="1"/>
        <v/>
      </c>
    </row>
    <row r="68" spans="15:15" ht="15" customHeight="1" x14ac:dyDescent="0.35">
      <c r="O68" s="2" t="str">
        <f t="shared" ref="O68:O99" si="2">IF($A68="","",IF(OR($A68="",$B68="",$C68="",$D68="",$F68="",$H68="",$I68="",$J68=""),"Missing required field",IF(AND($M68&lt;&gt;"",OR(NOT(ISNUMBER($M68)),$M68&lt;1,$M68&gt;5)),"Score must be 1-5","OK")))</f>
        <v/>
      </c>
    </row>
    <row r="69" spans="15:15" ht="15" customHeight="1" x14ac:dyDescent="0.35">
      <c r="O69" s="2" t="str">
        <f t="shared" si="2"/>
        <v/>
      </c>
    </row>
    <row r="70" spans="15:15" ht="15" customHeight="1" x14ac:dyDescent="0.35">
      <c r="O70" s="2" t="str">
        <f t="shared" si="2"/>
        <v/>
      </c>
    </row>
    <row r="71" spans="15:15" ht="15" customHeight="1" x14ac:dyDescent="0.35">
      <c r="O71" s="2" t="str">
        <f t="shared" si="2"/>
        <v/>
      </c>
    </row>
    <row r="72" spans="15:15" ht="15" customHeight="1" x14ac:dyDescent="0.35">
      <c r="O72" s="2" t="str">
        <f t="shared" si="2"/>
        <v/>
      </c>
    </row>
    <row r="73" spans="15:15" ht="15" customHeight="1" x14ac:dyDescent="0.35">
      <c r="O73" s="2" t="str">
        <f t="shared" si="2"/>
        <v/>
      </c>
    </row>
    <row r="74" spans="15:15" ht="15" customHeight="1" x14ac:dyDescent="0.35">
      <c r="O74" s="2" t="str">
        <f t="shared" si="2"/>
        <v/>
      </c>
    </row>
    <row r="75" spans="15:15" ht="15" customHeight="1" x14ac:dyDescent="0.35">
      <c r="O75" s="2" t="str">
        <f t="shared" si="2"/>
        <v/>
      </c>
    </row>
    <row r="76" spans="15:15" ht="15" customHeight="1" x14ac:dyDescent="0.35">
      <c r="O76" s="2" t="str">
        <f t="shared" si="2"/>
        <v/>
      </c>
    </row>
    <row r="77" spans="15:15" ht="15" customHeight="1" x14ac:dyDescent="0.35">
      <c r="O77" s="2" t="str">
        <f t="shared" si="2"/>
        <v/>
      </c>
    </row>
    <row r="78" spans="15:15" ht="15" customHeight="1" x14ac:dyDescent="0.35">
      <c r="O78" s="2" t="str">
        <f t="shared" si="2"/>
        <v/>
      </c>
    </row>
    <row r="79" spans="15:15" ht="15" customHeight="1" x14ac:dyDescent="0.35">
      <c r="O79" s="2" t="str">
        <f t="shared" si="2"/>
        <v/>
      </c>
    </row>
    <row r="80" spans="15:15" ht="15" customHeight="1" x14ac:dyDescent="0.35">
      <c r="O80" s="2" t="str">
        <f t="shared" si="2"/>
        <v/>
      </c>
    </row>
    <row r="81" spans="15:15" ht="15" customHeight="1" x14ac:dyDescent="0.35">
      <c r="O81" s="2" t="str">
        <f t="shared" si="2"/>
        <v/>
      </c>
    </row>
    <row r="82" spans="15:15" ht="15" customHeight="1" x14ac:dyDescent="0.35">
      <c r="O82" s="2" t="str">
        <f t="shared" si="2"/>
        <v/>
      </c>
    </row>
    <row r="83" spans="15:15" ht="15" customHeight="1" x14ac:dyDescent="0.35">
      <c r="O83" s="2" t="str">
        <f t="shared" si="2"/>
        <v/>
      </c>
    </row>
    <row r="84" spans="15:15" ht="15" customHeight="1" x14ac:dyDescent="0.35">
      <c r="O84" s="2" t="str">
        <f t="shared" si="2"/>
        <v/>
      </c>
    </row>
    <row r="85" spans="15:15" ht="15" customHeight="1" x14ac:dyDescent="0.35">
      <c r="O85" s="2" t="str">
        <f t="shared" si="2"/>
        <v/>
      </c>
    </row>
    <row r="86" spans="15:15" ht="15" customHeight="1" x14ac:dyDescent="0.35">
      <c r="O86" s="2" t="str">
        <f t="shared" si="2"/>
        <v/>
      </c>
    </row>
    <row r="87" spans="15:15" ht="15" customHeight="1" x14ac:dyDescent="0.35">
      <c r="O87" s="2" t="str">
        <f t="shared" si="2"/>
        <v/>
      </c>
    </row>
    <row r="88" spans="15:15" ht="15" customHeight="1" x14ac:dyDescent="0.35">
      <c r="O88" s="2" t="str">
        <f t="shared" si="2"/>
        <v/>
      </c>
    </row>
    <row r="89" spans="15:15" ht="15" customHeight="1" x14ac:dyDescent="0.35">
      <c r="O89" s="2" t="str">
        <f t="shared" si="2"/>
        <v/>
      </c>
    </row>
    <row r="90" spans="15:15" ht="15" customHeight="1" x14ac:dyDescent="0.35">
      <c r="O90" s="2" t="str">
        <f t="shared" si="2"/>
        <v/>
      </c>
    </row>
    <row r="91" spans="15:15" ht="15" customHeight="1" x14ac:dyDescent="0.35">
      <c r="O91" s="2" t="str">
        <f t="shared" si="2"/>
        <v/>
      </c>
    </row>
    <row r="92" spans="15:15" ht="15" customHeight="1" x14ac:dyDescent="0.35">
      <c r="O92" s="2" t="str">
        <f t="shared" si="2"/>
        <v/>
      </c>
    </row>
    <row r="93" spans="15:15" ht="15" customHeight="1" x14ac:dyDescent="0.35">
      <c r="O93" s="2" t="str">
        <f t="shared" si="2"/>
        <v/>
      </c>
    </row>
    <row r="94" spans="15:15" ht="15" customHeight="1" x14ac:dyDescent="0.35">
      <c r="O94" s="2" t="str">
        <f t="shared" si="2"/>
        <v/>
      </c>
    </row>
    <row r="95" spans="15:15" ht="15" customHeight="1" x14ac:dyDescent="0.35">
      <c r="O95" s="2" t="str">
        <f t="shared" si="2"/>
        <v/>
      </c>
    </row>
    <row r="96" spans="15:15" ht="15" customHeight="1" x14ac:dyDescent="0.35">
      <c r="O96" s="2" t="str">
        <f t="shared" si="2"/>
        <v/>
      </c>
    </row>
    <row r="97" spans="15:15" ht="15" customHeight="1" x14ac:dyDescent="0.35">
      <c r="O97" s="2" t="str">
        <f t="shared" si="2"/>
        <v/>
      </c>
    </row>
    <row r="98" spans="15:15" ht="15" customHeight="1" x14ac:dyDescent="0.35">
      <c r="O98" s="2" t="str">
        <f t="shared" si="2"/>
        <v/>
      </c>
    </row>
    <row r="99" spans="15:15" ht="15" customHeight="1" x14ac:dyDescent="0.35">
      <c r="O99" s="2" t="str">
        <f t="shared" si="2"/>
        <v/>
      </c>
    </row>
    <row r="100" spans="15:15" ht="15" customHeight="1" x14ac:dyDescent="0.35">
      <c r="O100" s="2" t="str">
        <f t="shared" ref="O100:O131" si="3">IF($A100="","",IF(OR($A100="",$B100="",$C100="",$D100="",$F100="",$H100="",$I100="",$J100=""),"Missing required field",IF(AND($M100&lt;&gt;"",OR(NOT(ISNUMBER($M100)),$M100&lt;1,$M100&gt;5)),"Score must be 1-5","OK")))</f>
        <v/>
      </c>
    </row>
    <row r="101" spans="15:15" ht="15" customHeight="1" x14ac:dyDescent="0.35">
      <c r="O101" s="2" t="str">
        <f t="shared" si="3"/>
        <v/>
      </c>
    </row>
    <row r="102" spans="15:15" ht="15" customHeight="1" x14ac:dyDescent="0.35">
      <c r="O102" s="2" t="str">
        <f t="shared" si="3"/>
        <v/>
      </c>
    </row>
    <row r="103" spans="15:15" ht="15" customHeight="1" x14ac:dyDescent="0.35">
      <c r="O103" s="2" t="str">
        <f t="shared" si="3"/>
        <v/>
      </c>
    </row>
    <row r="104" spans="15:15" ht="15" customHeight="1" x14ac:dyDescent="0.35">
      <c r="O104" s="2" t="str">
        <f t="shared" si="3"/>
        <v/>
      </c>
    </row>
    <row r="105" spans="15:15" ht="15" customHeight="1" x14ac:dyDescent="0.35">
      <c r="O105" s="2" t="str">
        <f t="shared" si="3"/>
        <v/>
      </c>
    </row>
    <row r="106" spans="15:15" ht="15" customHeight="1" x14ac:dyDescent="0.35">
      <c r="O106" s="2" t="str">
        <f t="shared" si="3"/>
        <v/>
      </c>
    </row>
    <row r="107" spans="15:15" ht="15" customHeight="1" x14ac:dyDescent="0.35">
      <c r="O107" s="2" t="str">
        <f t="shared" si="3"/>
        <v/>
      </c>
    </row>
    <row r="108" spans="15:15" ht="15" customHeight="1" x14ac:dyDescent="0.35">
      <c r="O108" s="2" t="str">
        <f t="shared" si="3"/>
        <v/>
      </c>
    </row>
    <row r="109" spans="15:15" ht="15" customHeight="1" x14ac:dyDescent="0.35">
      <c r="O109" s="2" t="str">
        <f t="shared" si="3"/>
        <v/>
      </c>
    </row>
    <row r="110" spans="15:15" ht="15" customHeight="1" x14ac:dyDescent="0.35">
      <c r="O110" s="2" t="str">
        <f t="shared" si="3"/>
        <v/>
      </c>
    </row>
    <row r="111" spans="15:15" ht="15" customHeight="1" x14ac:dyDescent="0.35">
      <c r="O111" s="2" t="str">
        <f t="shared" si="3"/>
        <v/>
      </c>
    </row>
    <row r="112" spans="15:15" ht="15" customHeight="1" x14ac:dyDescent="0.35">
      <c r="O112" s="2" t="str">
        <f t="shared" si="3"/>
        <v/>
      </c>
    </row>
    <row r="113" spans="15:15" ht="15" customHeight="1" x14ac:dyDescent="0.35">
      <c r="O113" s="2" t="str">
        <f t="shared" si="3"/>
        <v/>
      </c>
    </row>
    <row r="114" spans="15:15" ht="15" customHeight="1" x14ac:dyDescent="0.35">
      <c r="O114" s="2" t="str">
        <f t="shared" si="3"/>
        <v/>
      </c>
    </row>
    <row r="115" spans="15:15" ht="15" customHeight="1" x14ac:dyDescent="0.35">
      <c r="O115" s="2" t="str">
        <f t="shared" si="3"/>
        <v/>
      </c>
    </row>
    <row r="116" spans="15:15" ht="15" customHeight="1" x14ac:dyDescent="0.35">
      <c r="O116" s="2" t="str">
        <f t="shared" si="3"/>
        <v/>
      </c>
    </row>
    <row r="117" spans="15:15" ht="15" customHeight="1" x14ac:dyDescent="0.35">
      <c r="O117" s="2" t="str">
        <f t="shared" si="3"/>
        <v/>
      </c>
    </row>
    <row r="118" spans="15:15" ht="15" customHeight="1" x14ac:dyDescent="0.35">
      <c r="O118" s="2" t="str">
        <f t="shared" si="3"/>
        <v/>
      </c>
    </row>
    <row r="119" spans="15:15" ht="15" customHeight="1" x14ac:dyDescent="0.35">
      <c r="O119" s="2" t="str">
        <f t="shared" si="3"/>
        <v/>
      </c>
    </row>
    <row r="120" spans="15:15" ht="15" customHeight="1" x14ac:dyDescent="0.35">
      <c r="O120" s="2" t="str">
        <f t="shared" si="3"/>
        <v/>
      </c>
    </row>
    <row r="121" spans="15:15" ht="15" customHeight="1" x14ac:dyDescent="0.35">
      <c r="O121" s="2" t="str">
        <f t="shared" si="3"/>
        <v/>
      </c>
    </row>
    <row r="122" spans="15:15" ht="15" customHeight="1" x14ac:dyDescent="0.35">
      <c r="O122" s="2" t="str">
        <f t="shared" si="3"/>
        <v/>
      </c>
    </row>
    <row r="123" spans="15:15" ht="15" customHeight="1" x14ac:dyDescent="0.35">
      <c r="O123" s="2" t="str">
        <f t="shared" si="3"/>
        <v/>
      </c>
    </row>
    <row r="124" spans="15:15" ht="15" customHeight="1" x14ac:dyDescent="0.35">
      <c r="O124" s="2" t="str">
        <f t="shared" si="3"/>
        <v/>
      </c>
    </row>
    <row r="125" spans="15:15" ht="15" customHeight="1" x14ac:dyDescent="0.35">
      <c r="O125" s="2" t="str">
        <f t="shared" si="3"/>
        <v/>
      </c>
    </row>
    <row r="126" spans="15:15" ht="15" customHeight="1" x14ac:dyDescent="0.35">
      <c r="O126" s="2" t="str">
        <f t="shared" si="3"/>
        <v/>
      </c>
    </row>
    <row r="127" spans="15:15" ht="15" customHeight="1" x14ac:dyDescent="0.35">
      <c r="O127" s="2" t="str">
        <f t="shared" si="3"/>
        <v/>
      </c>
    </row>
    <row r="128" spans="15:15" ht="15" customHeight="1" x14ac:dyDescent="0.35">
      <c r="O128" s="2" t="str">
        <f t="shared" si="3"/>
        <v/>
      </c>
    </row>
    <row r="129" spans="15:15" ht="15" customHeight="1" x14ac:dyDescent="0.35">
      <c r="O129" s="2" t="str">
        <f t="shared" si="3"/>
        <v/>
      </c>
    </row>
    <row r="130" spans="15:15" ht="15" customHeight="1" x14ac:dyDescent="0.35">
      <c r="O130" s="2" t="str">
        <f t="shared" si="3"/>
        <v/>
      </c>
    </row>
    <row r="131" spans="15:15" ht="15" customHeight="1" x14ac:dyDescent="0.35">
      <c r="O131" s="2" t="str">
        <f t="shared" si="3"/>
        <v/>
      </c>
    </row>
    <row r="132" spans="15:15" ht="15" customHeight="1" x14ac:dyDescent="0.35">
      <c r="O132" s="2" t="str">
        <f t="shared" ref="O132:O163" si="4">IF($A132="","",IF(OR($A132="",$B132="",$C132="",$D132="",$F132="",$H132="",$I132="",$J132=""),"Missing required field",IF(AND($M132&lt;&gt;"",OR(NOT(ISNUMBER($M132)),$M132&lt;1,$M132&gt;5)),"Score must be 1-5","OK")))</f>
        <v/>
      </c>
    </row>
    <row r="133" spans="15:15" ht="15" customHeight="1" x14ac:dyDescent="0.35">
      <c r="O133" s="2" t="str">
        <f t="shared" si="4"/>
        <v/>
      </c>
    </row>
    <row r="134" spans="15:15" ht="15" customHeight="1" x14ac:dyDescent="0.35">
      <c r="O134" s="2" t="str">
        <f t="shared" si="4"/>
        <v/>
      </c>
    </row>
    <row r="135" spans="15:15" ht="15" customHeight="1" x14ac:dyDescent="0.35">
      <c r="O135" s="2" t="str">
        <f t="shared" si="4"/>
        <v/>
      </c>
    </row>
    <row r="136" spans="15:15" ht="15" customHeight="1" x14ac:dyDescent="0.35">
      <c r="O136" s="2" t="str">
        <f t="shared" si="4"/>
        <v/>
      </c>
    </row>
    <row r="137" spans="15:15" ht="15" customHeight="1" x14ac:dyDescent="0.35">
      <c r="O137" s="2" t="str">
        <f t="shared" si="4"/>
        <v/>
      </c>
    </row>
    <row r="138" spans="15:15" ht="15" customHeight="1" x14ac:dyDescent="0.35">
      <c r="O138" s="2" t="str">
        <f t="shared" si="4"/>
        <v/>
      </c>
    </row>
    <row r="139" spans="15:15" ht="15" customHeight="1" x14ac:dyDescent="0.35">
      <c r="O139" s="2" t="str">
        <f t="shared" si="4"/>
        <v/>
      </c>
    </row>
    <row r="140" spans="15:15" ht="15" customHeight="1" x14ac:dyDescent="0.35">
      <c r="O140" s="2" t="str">
        <f t="shared" si="4"/>
        <v/>
      </c>
    </row>
    <row r="141" spans="15:15" ht="15" customHeight="1" x14ac:dyDescent="0.35">
      <c r="O141" s="2" t="str">
        <f t="shared" si="4"/>
        <v/>
      </c>
    </row>
    <row r="142" spans="15:15" ht="15" customHeight="1" x14ac:dyDescent="0.35">
      <c r="O142" s="2" t="str">
        <f t="shared" si="4"/>
        <v/>
      </c>
    </row>
    <row r="143" spans="15:15" ht="15" customHeight="1" x14ac:dyDescent="0.35">
      <c r="O143" s="2" t="str">
        <f t="shared" si="4"/>
        <v/>
      </c>
    </row>
    <row r="144" spans="15:15" ht="15" customHeight="1" x14ac:dyDescent="0.35">
      <c r="O144" s="2" t="str">
        <f t="shared" si="4"/>
        <v/>
      </c>
    </row>
    <row r="145" spans="15:15" ht="15" customHeight="1" x14ac:dyDescent="0.35">
      <c r="O145" s="2" t="str">
        <f t="shared" si="4"/>
        <v/>
      </c>
    </row>
    <row r="146" spans="15:15" ht="15" customHeight="1" x14ac:dyDescent="0.35">
      <c r="O146" s="2" t="str">
        <f t="shared" si="4"/>
        <v/>
      </c>
    </row>
    <row r="147" spans="15:15" ht="15" customHeight="1" x14ac:dyDescent="0.35">
      <c r="O147" s="2" t="str">
        <f t="shared" si="4"/>
        <v/>
      </c>
    </row>
    <row r="148" spans="15:15" ht="15" customHeight="1" x14ac:dyDescent="0.35">
      <c r="O148" s="2" t="str">
        <f t="shared" si="4"/>
        <v/>
      </c>
    </row>
    <row r="149" spans="15:15" ht="15" customHeight="1" x14ac:dyDescent="0.35">
      <c r="O149" s="2" t="str">
        <f t="shared" si="4"/>
        <v/>
      </c>
    </row>
    <row r="150" spans="15:15" ht="15" customHeight="1" x14ac:dyDescent="0.35">
      <c r="O150" s="2" t="str">
        <f t="shared" si="4"/>
        <v/>
      </c>
    </row>
    <row r="151" spans="15:15" ht="15" customHeight="1" x14ac:dyDescent="0.35">
      <c r="O151" s="2" t="str">
        <f t="shared" si="4"/>
        <v/>
      </c>
    </row>
    <row r="152" spans="15:15" ht="15" customHeight="1" x14ac:dyDescent="0.35">
      <c r="O152" s="2" t="str">
        <f t="shared" si="4"/>
        <v/>
      </c>
    </row>
    <row r="153" spans="15:15" ht="15" customHeight="1" x14ac:dyDescent="0.35">
      <c r="O153" s="2" t="str">
        <f t="shared" si="4"/>
        <v/>
      </c>
    </row>
    <row r="154" spans="15:15" ht="15" customHeight="1" x14ac:dyDescent="0.35">
      <c r="O154" s="2" t="str">
        <f t="shared" si="4"/>
        <v/>
      </c>
    </row>
    <row r="155" spans="15:15" ht="15" customHeight="1" x14ac:dyDescent="0.35">
      <c r="O155" s="2" t="str">
        <f t="shared" si="4"/>
        <v/>
      </c>
    </row>
    <row r="156" spans="15:15" ht="15" customHeight="1" x14ac:dyDescent="0.35">
      <c r="O156" s="2" t="str">
        <f t="shared" si="4"/>
        <v/>
      </c>
    </row>
    <row r="157" spans="15:15" ht="15" customHeight="1" x14ac:dyDescent="0.35">
      <c r="O157" s="2" t="str">
        <f t="shared" si="4"/>
        <v/>
      </c>
    </row>
    <row r="158" spans="15:15" ht="15" customHeight="1" x14ac:dyDescent="0.35">
      <c r="O158" s="2" t="str">
        <f t="shared" si="4"/>
        <v/>
      </c>
    </row>
    <row r="159" spans="15:15" ht="15" customHeight="1" x14ac:dyDescent="0.35">
      <c r="O159" s="2" t="str">
        <f t="shared" si="4"/>
        <v/>
      </c>
    </row>
    <row r="160" spans="15:15" ht="15" customHeight="1" x14ac:dyDescent="0.35">
      <c r="O160" s="2" t="str">
        <f t="shared" si="4"/>
        <v/>
      </c>
    </row>
    <row r="161" spans="15:15" ht="15" customHeight="1" x14ac:dyDescent="0.35">
      <c r="O161" s="2" t="str">
        <f t="shared" si="4"/>
        <v/>
      </c>
    </row>
    <row r="162" spans="15:15" ht="15" customHeight="1" x14ac:dyDescent="0.35">
      <c r="O162" s="2" t="str">
        <f t="shared" si="4"/>
        <v/>
      </c>
    </row>
    <row r="163" spans="15:15" ht="15" customHeight="1" x14ac:dyDescent="0.35">
      <c r="O163" s="2" t="str">
        <f t="shared" si="4"/>
        <v/>
      </c>
    </row>
    <row r="164" spans="15:15" ht="15" customHeight="1" x14ac:dyDescent="0.35">
      <c r="O164" s="2" t="str">
        <f t="shared" ref="O164:O200" si="5">IF($A164="","",IF(OR($A164="",$B164="",$C164="",$D164="",$F164="",$H164="",$I164="",$J164=""),"Missing required field",IF(AND($M164&lt;&gt;"",OR(NOT(ISNUMBER($M164)),$M164&lt;1,$M164&gt;5)),"Score must be 1-5","OK")))</f>
        <v/>
      </c>
    </row>
    <row r="165" spans="15:15" ht="15" customHeight="1" x14ac:dyDescent="0.35">
      <c r="O165" s="2" t="str">
        <f t="shared" si="5"/>
        <v/>
      </c>
    </row>
    <row r="166" spans="15:15" ht="15" customHeight="1" x14ac:dyDescent="0.35">
      <c r="O166" s="2" t="str">
        <f t="shared" si="5"/>
        <v/>
      </c>
    </row>
    <row r="167" spans="15:15" ht="15" customHeight="1" x14ac:dyDescent="0.35">
      <c r="O167" s="2" t="str">
        <f t="shared" si="5"/>
        <v/>
      </c>
    </row>
    <row r="168" spans="15:15" ht="15" customHeight="1" x14ac:dyDescent="0.35">
      <c r="O168" s="2" t="str">
        <f t="shared" si="5"/>
        <v/>
      </c>
    </row>
    <row r="169" spans="15:15" ht="15" customHeight="1" x14ac:dyDescent="0.35">
      <c r="O169" s="2" t="str">
        <f t="shared" si="5"/>
        <v/>
      </c>
    </row>
    <row r="170" spans="15:15" ht="15" customHeight="1" x14ac:dyDescent="0.35">
      <c r="O170" s="2" t="str">
        <f t="shared" si="5"/>
        <v/>
      </c>
    </row>
    <row r="171" spans="15:15" ht="15" customHeight="1" x14ac:dyDescent="0.35">
      <c r="O171" s="2" t="str">
        <f t="shared" si="5"/>
        <v/>
      </c>
    </row>
    <row r="172" spans="15:15" ht="15" customHeight="1" x14ac:dyDescent="0.35">
      <c r="O172" s="2" t="str">
        <f t="shared" si="5"/>
        <v/>
      </c>
    </row>
    <row r="173" spans="15:15" ht="15" customHeight="1" x14ac:dyDescent="0.35">
      <c r="O173" s="2" t="str">
        <f t="shared" si="5"/>
        <v/>
      </c>
    </row>
    <row r="174" spans="15:15" ht="15" customHeight="1" x14ac:dyDescent="0.35">
      <c r="O174" s="2" t="str">
        <f t="shared" si="5"/>
        <v/>
      </c>
    </row>
    <row r="175" spans="15:15" ht="15" customHeight="1" x14ac:dyDescent="0.35">
      <c r="O175" s="2" t="str">
        <f t="shared" si="5"/>
        <v/>
      </c>
    </row>
    <row r="176" spans="15:15" ht="15" customHeight="1" x14ac:dyDescent="0.35">
      <c r="O176" s="2" t="str">
        <f t="shared" si="5"/>
        <v/>
      </c>
    </row>
    <row r="177" spans="15:15" ht="15" customHeight="1" x14ac:dyDescent="0.35">
      <c r="O177" s="2" t="str">
        <f t="shared" si="5"/>
        <v/>
      </c>
    </row>
    <row r="178" spans="15:15" ht="15" customHeight="1" x14ac:dyDescent="0.35">
      <c r="O178" s="2" t="str">
        <f t="shared" si="5"/>
        <v/>
      </c>
    </row>
    <row r="179" spans="15:15" ht="15" customHeight="1" x14ac:dyDescent="0.35">
      <c r="O179" s="2" t="str">
        <f t="shared" si="5"/>
        <v/>
      </c>
    </row>
    <row r="180" spans="15:15" ht="15" customHeight="1" x14ac:dyDescent="0.35">
      <c r="O180" s="2" t="str">
        <f t="shared" si="5"/>
        <v/>
      </c>
    </row>
    <row r="181" spans="15:15" ht="15" customHeight="1" x14ac:dyDescent="0.35">
      <c r="O181" s="2" t="str">
        <f t="shared" si="5"/>
        <v/>
      </c>
    </row>
    <row r="182" spans="15:15" ht="15" customHeight="1" x14ac:dyDescent="0.35">
      <c r="O182" s="2" t="str">
        <f t="shared" si="5"/>
        <v/>
      </c>
    </row>
    <row r="183" spans="15:15" ht="15" customHeight="1" x14ac:dyDescent="0.35">
      <c r="O183" s="2" t="str">
        <f t="shared" si="5"/>
        <v/>
      </c>
    </row>
    <row r="184" spans="15:15" ht="15" customHeight="1" x14ac:dyDescent="0.35">
      <c r="O184" s="2" t="str">
        <f t="shared" si="5"/>
        <v/>
      </c>
    </row>
    <row r="185" spans="15:15" ht="15" customHeight="1" x14ac:dyDescent="0.35">
      <c r="O185" s="2" t="str">
        <f t="shared" si="5"/>
        <v/>
      </c>
    </row>
    <row r="186" spans="15:15" ht="15" customHeight="1" x14ac:dyDescent="0.35">
      <c r="O186" s="2" t="str">
        <f t="shared" si="5"/>
        <v/>
      </c>
    </row>
    <row r="187" spans="15:15" ht="15" customHeight="1" x14ac:dyDescent="0.35">
      <c r="O187" s="2" t="str">
        <f t="shared" si="5"/>
        <v/>
      </c>
    </row>
    <row r="188" spans="15:15" ht="15" customHeight="1" x14ac:dyDescent="0.35">
      <c r="O188" s="2" t="str">
        <f t="shared" si="5"/>
        <v/>
      </c>
    </row>
    <row r="189" spans="15:15" ht="15" customHeight="1" x14ac:dyDescent="0.35">
      <c r="O189" s="2" t="str">
        <f t="shared" si="5"/>
        <v/>
      </c>
    </row>
    <row r="190" spans="15:15" ht="15" customHeight="1" x14ac:dyDescent="0.35">
      <c r="O190" s="2" t="str">
        <f t="shared" si="5"/>
        <v/>
      </c>
    </row>
    <row r="191" spans="15:15" ht="15" customHeight="1" x14ac:dyDescent="0.35">
      <c r="O191" s="2" t="str">
        <f t="shared" si="5"/>
        <v/>
      </c>
    </row>
    <row r="192" spans="15:15" ht="15" customHeight="1" x14ac:dyDescent="0.35">
      <c r="O192" s="2" t="str">
        <f t="shared" si="5"/>
        <v/>
      </c>
    </row>
    <row r="193" spans="15:15" ht="15" customHeight="1" x14ac:dyDescent="0.35">
      <c r="O193" s="2" t="str">
        <f t="shared" si="5"/>
        <v/>
      </c>
    </row>
    <row r="194" spans="15:15" ht="15" customHeight="1" x14ac:dyDescent="0.35">
      <c r="O194" s="2" t="str">
        <f t="shared" si="5"/>
        <v/>
      </c>
    </row>
    <row r="195" spans="15:15" ht="15" customHeight="1" x14ac:dyDescent="0.35">
      <c r="O195" s="2" t="str">
        <f t="shared" si="5"/>
        <v/>
      </c>
    </row>
    <row r="196" spans="15:15" ht="15" customHeight="1" x14ac:dyDescent="0.35">
      <c r="O196" s="2" t="str">
        <f t="shared" si="5"/>
        <v/>
      </c>
    </row>
    <row r="197" spans="15:15" ht="15" customHeight="1" x14ac:dyDescent="0.35">
      <c r="O197" s="2" t="str">
        <f t="shared" si="5"/>
        <v/>
      </c>
    </row>
    <row r="198" spans="15:15" ht="15" customHeight="1" x14ac:dyDescent="0.35">
      <c r="O198" s="2" t="str">
        <f t="shared" si="5"/>
        <v/>
      </c>
    </row>
    <row r="199" spans="15:15" ht="15" customHeight="1" x14ac:dyDescent="0.35">
      <c r="O199" s="2" t="str">
        <f t="shared" si="5"/>
        <v/>
      </c>
    </row>
    <row r="200" spans="15:15" ht="15" customHeight="1" x14ac:dyDescent="0.35">
      <c r="O200" s="2" t="str">
        <f t="shared" si="5"/>
        <v/>
      </c>
    </row>
  </sheetData>
  <conditionalFormatting sqref="O4:O200">
    <cfRule type="expression" dxfId="3" priority="2">
      <formula>AND(O4&lt;&gt;"",O4&lt;&gt;"OK")</formula>
    </cfRule>
    <cfRule type="expression" dxfId="2" priority="3">
      <formula>O4="OK"</formula>
    </cfRule>
  </conditionalFormatting>
  <dataValidations count="5">
    <dataValidation type="list" errorStyle="warning" allowBlank="1" sqref="C4:C200" xr:uid="{00000000-0002-0000-0A00-000000000000}">
      <formula1>BusinessGroupsList</formula1>
      <formula2>0</formula2>
    </dataValidation>
    <dataValidation type="list" errorStyle="warning" allowBlank="1" sqref="D4:D200" xr:uid="{00000000-0002-0000-0A00-000001000000}">
      <formula1>RegionsList</formula1>
      <formula2>0</formula2>
    </dataValidation>
    <dataValidation type="list" errorStyle="warning" allowBlank="1" sqref="E4:E200" xr:uid="{00000000-0002-0000-0A00-000002000000}">
      <formula1>OutletsList</formula1>
      <formula2>0</formula2>
    </dataValidation>
    <dataValidation type="list" errorStyle="warning" allowBlank="1" sqref="F4:F200" xr:uid="{00000000-0002-0000-0A00-000003000000}">
      <formula1>"Customer,Distributor,End User"</formula1>
      <formula2>0</formula2>
    </dataValidation>
    <dataValidation type="whole" allowBlank="1" showErrorMessage="1" errorTitle="Invalid score" error="Score must be a whole number from 1 to 5." sqref="M4:M200" xr:uid="{00000000-0002-0000-0A00-000004000000}">
      <formula1>1</formula1>
      <formula2>5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0"/>
  <sheetViews>
    <sheetView showGridLines="0" workbookViewId="0">
      <selection activeCell="E18" sqref="E18"/>
    </sheetView>
  </sheetViews>
  <sheetFormatPr defaultColWidth="8.54296875" defaultRowHeight="14.5" x14ac:dyDescent="0.35"/>
  <cols>
    <col min="1" max="1" width="24" style="1" customWidth="1"/>
    <col min="2" max="2" width="30" style="1" customWidth="1"/>
    <col min="3" max="3" width="23.54296875" style="1" customWidth="1"/>
    <col min="4" max="4" width="30" style="1" customWidth="1"/>
    <col min="5" max="5" width="23" style="1" customWidth="1"/>
    <col min="6" max="6" width="32" style="1" customWidth="1"/>
  </cols>
  <sheetData>
    <row r="1" spans="1:6" ht="21.75" customHeight="1" x14ac:dyDescent="0.4">
      <c r="A1" s="72" t="s">
        <v>35</v>
      </c>
      <c r="B1" s="72"/>
      <c r="C1" s="72"/>
      <c r="D1" s="72"/>
    </row>
    <row r="2" spans="1:6" ht="15.75" customHeight="1" x14ac:dyDescent="0.35">
      <c r="A2" s="69" t="s">
        <v>177</v>
      </c>
      <c r="B2" s="69"/>
      <c r="C2" s="69"/>
      <c r="D2" s="69"/>
    </row>
    <row r="3" spans="1:6" s="12" customFormat="1" ht="30" customHeight="1" x14ac:dyDescent="0.35">
      <c r="A3" s="58" t="s">
        <v>178</v>
      </c>
      <c r="B3" s="58" t="s">
        <v>179</v>
      </c>
      <c r="C3" s="58" t="s">
        <v>180</v>
      </c>
      <c r="D3" s="58" t="s">
        <v>48</v>
      </c>
      <c r="E3" s="57" t="s">
        <v>89</v>
      </c>
      <c r="F3" s="57" t="s">
        <v>50</v>
      </c>
    </row>
    <row r="4" spans="1:6" ht="15" customHeight="1" x14ac:dyDescent="0.35">
      <c r="A4" s="39" t="s">
        <v>406</v>
      </c>
      <c r="B4" s="39" t="s">
        <v>181</v>
      </c>
      <c r="C4" s="39" t="s">
        <v>182</v>
      </c>
      <c r="D4" s="39" t="s">
        <v>183</v>
      </c>
      <c r="E4" s="35" t="s">
        <v>63</v>
      </c>
      <c r="F4" s="35" t="str">
        <f t="shared" ref="F4:F35" si="0">IF($A4="","",IF(OR($A4="",$E4=""),"Missing required field",IF(COUNTIF($A$4:$A$200,$A4)&gt;1,"Duplicate competitor name","OK")))</f>
        <v>OK</v>
      </c>
    </row>
    <row r="5" spans="1:6" ht="15" customHeight="1" x14ac:dyDescent="0.35">
      <c r="A5" s="30" t="s">
        <v>407</v>
      </c>
      <c r="B5" s="30" t="s">
        <v>414</v>
      </c>
      <c r="C5" s="30" t="s">
        <v>415</v>
      </c>
      <c r="D5" s="30"/>
      <c r="E5" s="48" t="s">
        <v>74</v>
      </c>
      <c r="F5" s="30" t="str">
        <f t="shared" si="0"/>
        <v>OK</v>
      </c>
    </row>
    <row r="6" spans="1:6" ht="15" customHeight="1" x14ac:dyDescent="0.35">
      <c r="A6" s="30" t="s">
        <v>408</v>
      </c>
      <c r="B6" s="30" t="s">
        <v>414</v>
      </c>
      <c r="C6" s="30" t="s">
        <v>415</v>
      </c>
      <c r="D6" s="30"/>
      <c r="E6" s="48" t="s">
        <v>74</v>
      </c>
      <c r="F6" s="30" t="str">
        <f t="shared" si="0"/>
        <v>OK</v>
      </c>
    </row>
    <row r="7" spans="1:6" ht="15" customHeight="1" x14ac:dyDescent="0.35">
      <c r="A7" s="30" t="s">
        <v>409</v>
      </c>
      <c r="B7" s="30" t="s">
        <v>414</v>
      </c>
      <c r="C7" s="30" t="s">
        <v>415</v>
      </c>
      <c r="D7" s="30"/>
      <c r="E7" s="48" t="s">
        <v>74</v>
      </c>
      <c r="F7" s="30" t="str">
        <f t="shared" si="0"/>
        <v>OK</v>
      </c>
    </row>
    <row r="8" spans="1:6" ht="15" customHeight="1" x14ac:dyDescent="0.35">
      <c r="A8" s="30" t="s">
        <v>410</v>
      </c>
      <c r="B8" s="30" t="s">
        <v>414</v>
      </c>
      <c r="C8" s="30" t="s">
        <v>415</v>
      </c>
      <c r="D8" s="30"/>
      <c r="E8" s="48" t="s">
        <v>74</v>
      </c>
      <c r="F8" s="30" t="str">
        <f t="shared" si="0"/>
        <v>OK</v>
      </c>
    </row>
    <row r="9" spans="1:6" ht="15" customHeight="1" x14ac:dyDescent="0.35">
      <c r="A9" s="30" t="s">
        <v>411</v>
      </c>
      <c r="B9" s="30" t="s">
        <v>414</v>
      </c>
      <c r="C9" s="30" t="s">
        <v>415</v>
      </c>
      <c r="D9" s="30"/>
      <c r="E9" s="48" t="s">
        <v>74</v>
      </c>
      <c r="F9" s="30" t="str">
        <f t="shared" si="0"/>
        <v>OK</v>
      </c>
    </row>
    <row r="10" spans="1:6" ht="15" customHeight="1" x14ac:dyDescent="0.35">
      <c r="A10" s="30" t="s">
        <v>412</v>
      </c>
      <c r="B10" s="30" t="s">
        <v>414</v>
      </c>
      <c r="C10" s="30" t="s">
        <v>415</v>
      </c>
      <c r="D10" s="30"/>
      <c r="E10" s="48" t="s">
        <v>74</v>
      </c>
      <c r="F10" s="30" t="str">
        <f t="shared" si="0"/>
        <v>OK</v>
      </c>
    </row>
    <row r="11" spans="1:6" ht="15" customHeight="1" x14ac:dyDescent="0.35">
      <c r="A11" s="30" t="s">
        <v>413</v>
      </c>
      <c r="B11" s="30" t="s">
        <v>414</v>
      </c>
      <c r="C11" s="30" t="s">
        <v>415</v>
      </c>
      <c r="D11" s="30"/>
      <c r="E11" s="48" t="s">
        <v>74</v>
      </c>
      <c r="F11" s="30" t="str">
        <f t="shared" si="0"/>
        <v>OK</v>
      </c>
    </row>
    <row r="12" spans="1:6" ht="15" customHeight="1" x14ac:dyDescent="0.35">
      <c r="A12" s="30" t="s">
        <v>416</v>
      </c>
      <c r="B12" s="30" t="s">
        <v>420</v>
      </c>
      <c r="C12" s="30" t="s">
        <v>415</v>
      </c>
      <c r="D12" s="30"/>
      <c r="E12" s="48" t="s">
        <v>421</v>
      </c>
      <c r="F12" s="30" t="str">
        <f t="shared" si="0"/>
        <v>OK</v>
      </c>
    </row>
    <row r="13" spans="1:6" ht="15" customHeight="1" x14ac:dyDescent="0.35">
      <c r="A13" s="30" t="s">
        <v>417</v>
      </c>
      <c r="B13" s="30" t="s">
        <v>420</v>
      </c>
      <c r="C13" s="30" t="s">
        <v>415</v>
      </c>
      <c r="D13" s="30"/>
      <c r="E13" s="48" t="s">
        <v>421</v>
      </c>
      <c r="F13" s="30" t="str">
        <f t="shared" si="0"/>
        <v>OK</v>
      </c>
    </row>
    <row r="14" spans="1:6" ht="15" customHeight="1" x14ac:dyDescent="0.35">
      <c r="A14" s="30" t="s">
        <v>418</v>
      </c>
      <c r="B14" s="30" t="s">
        <v>420</v>
      </c>
      <c r="C14" s="30" t="s">
        <v>415</v>
      </c>
      <c r="D14" s="30"/>
      <c r="E14" s="48" t="s">
        <v>421</v>
      </c>
      <c r="F14" s="30" t="str">
        <f t="shared" si="0"/>
        <v>OK</v>
      </c>
    </row>
    <row r="15" spans="1:6" ht="15" customHeight="1" x14ac:dyDescent="0.35">
      <c r="A15" s="30" t="s">
        <v>419</v>
      </c>
      <c r="B15" s="30" t="s">
        <v>420</v>
      </c>
      <c r="C15" s="30" t="s">
        <v>415</v>
      </c>
      <c r="D15" s="30"/>
      <c r="E15" s="48" t="s">
        <v>421</v>
      </c>
      <c r="F15" s="30" t="str">
        <f t="shared" si="0"/>
        <v>OK</v>
      </c>
    </row>
    <row r="16" spans="1:6" ht="15" customHeight="1" x14ac:dyDescent="0.35">
      <c r="A16" s="30"/>
      <c r="B16" s="30"/>
      <c r="C16" s="30"/>
      <c r="D16" s="30"/>
      <c r="E16" s="48"/>
      <c r="F16" s="30" t="str">
        <f t="shared" si="0"/>
        <v/>
      </c>
    </row>
    <row r="17" spans="1:6" ht="15" customHeight="1" x14ac:dyDescent="0.35">
      <c r="A17" s="30"/>
      <c r="B17" s="30"/>
      <c r="C17" s="30"/>
      <c r="D17" s="30"/>
      <c r="E17" s="48"/>
      <c r="F17" s="30" t="str">
        <f t="shared" si="0"/>
        <v/>
      </c>
    </row>
    <row r="18" spans="1:6" ht="15" customHeight="1" x14ac:dyDescent="0.35">
      <c r="A18" s="30"/>
      <c r="B18" s="30"/>
      <c r="C18" s="30"/>
      <c r="D18" s="30"/>
      <c r="E18" s="48"/>
      <c r="F18" s="30" t="str">
        <f t="shared" si="0"/>
        <v/>
      </c>
    </row>
    <row r="19" spans="1:6" ht="15" customHeight="1" x14ac:dyDescent="0.35">
      <c r="A19" s="30"/>
      <c r="B19" s="30"/>
      <c r="C19" s="30"/>
      <c r="D19" s="30"/>
      <c r="E19" s="48"/>
      <c r="F19" s="30" t="str">
        <f t="shared" si="0"/>
        <v/>
      </c>
    </row>
    <row r="20" spans="1:6" ht="15" customHeight="1" x14ac:dyDescent="0.35">
      <c r="A20" s="30"/>
      <c r="B20" s="30"/>
      <c r="C20" s="30"/>
      <c r="D20" s="30"/>
      <c r="E20" s="48"/>
      <c r="F20" s="30" t="str">
        <f t="shared" si="0"/>
        <v/>
      </c>
    </row>
    <row r="21" spans="1:6" ht="15" customHeight="1" x14ac:dyDescent="0.35">
      <c r="A21" s="30"/>
      <c r="B21" s="30"/>
      <c r="C21" s="30"/>
      <c r="D21" s="30"/>
      <c r="E21" s="48"/>
      <c r="F21" s="30" t="str">
        <f t="shared" si="0"/>
        <v/>
      </c>
    </row>
    <row r="22" spans="1:6" ht="15" customHeight="1" x14ac:dyDescent="0.35">
      <c r="A22" s="36"/>
      <c r="B22" s="36"/>
      <c r="C22" s="36"/>
      <c r="D22" s="36"/>
      <c r="E22" s="50"/>
      <c r="F22" s="51" t="str">
        <f t="shared" si="0"/>
        <v/>
      </c>
    </row>
    <row r="23" spans="1:6" ht="15" customHeight="1" x14ac:dyDescent="0.35">
      <c r="A23" s="5"/>
      <c r="B23" s="5"/>
      <c r="C23" s="5"/>
      <c r="D23" s="5"/>
      <c r="F23" s="2" t="str">
        <f t="shared" si="0"/>
        <v/>
      </c>
    </row>
    <row r="24" spans="1:6" ht="15" customHeight="1" x14ac:dyDescent="0.35">
      <c r="A24" s="5"/>
      <c r="B24" s="5"/>
      <c r="C24" s="5"/>
      <c r="D24" s="5"/>
      <c r="F24" s="2" t="str">
        <f t="shared" si="0"/>
        <v/>
      </c>
    </row>
    <row r="25" spans="1:6" ht="15" customHeight="1" x14ac:dyDescent="0.35">
      <c r="F25" s="2" t="str">
        <f t="shared" si="0"/>
        <v/>
      </c>
    </row>
    <row r="26" spans="1:6" ht="15" customHeight="1" x14ac:dyDescent="0.35">
      <c r="F26" s="2" t="str">
        <f t="shared" si="0"/>
        <v/>
      </c>
    </row>
    <row r="27" spans="1:6" ht="15" customHeight="1" x14ac:dyDescent="0.35">
      <c r="F27" s="2" t="str">
        <f t="shared" si="0"/>
        <v/>
      </c>
    </row>
    <row r="28" spans="1:6" ht="15" customHeight="1" x14ac:dyDescent="0.35">
      <c r="F28" s="2" t="str">
        <f t="shared" si="0"/>
        <v/>
      </c>
    </row>
    <row r="29" spans="1:6" ht="15" customHeight="1" x14ac:dyDescent="0.35">
      <c r="F29" s="2" t="str">
        <f t="shared" si="0"/>
        <v/>
      </c>
    </row>
    <row r="30" spans="1:6" ht="15" customHeight="1" x14ac:dyDescent="0.35">
      <c r="F30" s="2" t="str">
        <f t="shared" si="0"/>
        <v/>
      </c>
    </row>
    <row r="31" spans="1:6" ht="15" customHeight="1" x14ac:dyDescent="0.35">
      <c r="F31" s="2" t="str">
        <f t="shared" si="0"/>
        <v/>
      </c>
    </row>
    <row r="32" spans="1:6" ht="15" customHeight="1" x14ac:dyDescent="0.35">
      <c r="F32" s="2" t="str">
        <f t="shared" si="0"/>
        <v/>
      </c>
    </row>
    <row r="33" spans="6:6" ht="15" customHeight="1" x14ac:dyDescent="0.35">
      <c r="F33" s="2" t="str">
        <f t="shared" si="0"/>
        <v/>
      </c>
    </row>
    <row r="34" spans="6:6" ht="15" customHeight="1" x14ac:dyDescent="0.35">
      <c r="F34" s="2" t="str">
        <f t="shared" si="0"/>
        <v/>
      </c>
    </row>
    <row r="35" spans="6:6" ht="15" customHeight="1" x14ac:dyDescent="0.35">
      <c r="F35" s="2" t="str">
        <f t="shared" si="0"/>
        <v/>
      </c>
    </row>
    <row r="36" spans="6:6" ht="15" customHeight="1" x14ac:dyDescent="0.35">
      <c r="F36" s="2" t="str">
        <f t="shared" ref="F36:F67" si="1">IF($A36="","",IF(OR($A36="",$E36=""),"Missing required field",IF(COUNTIF($A$4:$A$200,$A36)&gt;1,"Duplicate competitor name","OK")))</f>
        <v/>
      </c>
    </row>
    <row r="37" spans="6:6" ht="15" customHeight="1" x14ac:dyDescent="0.35">
      <c r="F37" s="2" t="str">
        <f t="shared" si="1"/>
        <v/>
      </c>
    </row>
    <row r="38" spans="6:6" ht="15" customHeight="1" x14ac:dyDescent="0.35">
      <c r="F38" s="2" t="str">
        <f t="shared" si="1"/>
        <v/>
      </c>
    </row>
    <row r="39" spans="6:6" ht="15" customHeight="1" x14ac:dyDescent="0.35">
      <c r="F39" s="2" t="str">
        <f t="shared" si="1"/>
        <v/>
      </c>
    </row>
    <row r="40" spans="6:6" ht="15" customHeight="1" x14ac:dyDescent="0.35">
      <c r="F40" s="2" t="str">
        <f t="shared" si="1"/>
        <v/>
      </c>
    </row>
    <row r="41" spans="6:6" ht="15" customHeight="1" x14ac:dyDescent="0.35">
      <c r="F41" s="2" t="str">
        <f t="shared" si="1"/>
        <v/>
      </c>
    </row>
    <row r="42" spans="6:6" ht="15" customHeight="1" x14ac:dyDescent="0.35">
      <c r="F42" s="2" t="str">
        <f t="shared" si="1"/>
        <v/>
      </c>
    </row>
    <row r="43" spans="6:6" ht="15" customHeight="1" x14ac:dyDescent="0.35">
      <c r="F43" s="2" t="str">
        <f t="shared" si="1"/>
        <v/>
      </c>
    </row>
    <row r="44" spans="6:6" ht="15" customHeight="1" x14ac:dyDescent="0.35">
      <c r="F44" s="2" t="str">
        <f t="shared" si="1"/>
        <v/>
      </c>
    </row>
    <row r="45" spans="6:6" ht="15" customHeight="1" x14ac:dyDescent="0.35">
      <c r="F45" s="2" t="str">
        <f t="shared" si="1"/>
        <v/>
      </c>
    </row>
    <row r="46" spans="6:6" ht="15" customHeight="1" x14ac:dyDescent="0.35">
      <c r="F46" s="2" t="str">
        <f t="shared" si="1"/>
        <v/>
      </c>
    </row>
    <row r="47" spans="6:6" ht="15" customHeight="1" x14ac:dyDescent="0.35">
      <c r="F47" s="2" t="str">
        <f t="shared" si="1"/>
        <v/>
      </c>
    </row>
    <row r="48" spans="6:6" ht="15" customHeight="1" x14ac:dyDescent="0.35">
      <c r="F48" s="2" t="str">
        <f t="shared" si="1"/>
        <v/>
      </c>
    </row>
    <row r="49" spans="6:6" ht="15" customHeight="1" x14ac:dyDescent="0.35">
      <c r="F49" s="2" t="str">
        <f t="shared" si="1"/>
        <v/>
      </c>
    </row>
    <row r="50" spans="6:6" ht="15" customHeight="1" x14ac:dyDescent="0.35">
      <c r="F50" s="2" t="str">
        <f t="shared" si="1"/>
        <v/>
      </c>
    </row>
    <row r="51" spans="6:6" ht="15" customHeight="1" x14ac:dyDescent="0.35">
      <c r="F51" s="2" t="str">
        <f t="shared" si="1"/>
        <v/>
      </c>
    </row>
    <row r="52" spans="6:6" ht="15" customHeight="1" x14ac:dyDescent="0.35">
      <c r="F52" s="2" t="str">
        <f t="shared" si="1"/>
        <v/>
      </c>
    </row>
    <row r="53" spans="6:6" ht="15" customHeight="1" x14ac:dyDescent="0.35">
      <c r="F53" s="2" t="str">
        <f t="shared" si="1"/>
        <v/>
      </c>
    </row>
    <row r="54" spans="6:6" ht="15" customHeight="1" x14ac:dyDescent="0.35">
      <c r="F54" s="2" t="str">
        <f t="shared" si="1"/>
        <v/>
      </c>
    </row>
    <row r="55" spans="6:6" ht="15" customHeight="1" x14ac:dyDescent="0.35">
      <c r="F55" s="2" t="str">
        <f t="shared" si="1"/>
        <v/>
      </c>
    </row>
    <row r="56" spans="6:6" ht="15" customHeight="1" x14ac:dyDescent="0.35">
      <c r="F56" s="2" t="str">
        <f t="shared" si="1"/>
        <v/>
      </c>
    </row>
    <row r="57" spans="6:6" ht="15" customHeight="1" x14ac:dyDescent="0.35">
      <c r="F57" s="2" t="str">
        <f t="shared" si="1"/>
        <v/>
      </c>
    </row>
    <row r="58" spans="6:6" ht="15" customHeight="1" x14ac:dyDescent="0.35">
      <c r="F58" s="2" t="str">
        <f t="shared" si="1"/>
        <v/>
      </c>
    </row>
    <row r="59" spans="6:6" ht="15" customHeight="1" x14ac:dyDescent="0.35">
      <c r="F59" s="2" t="str">
        <f t="shared" si="1"/>
        <v/>
      </c>
    </row>
    <row r="60" spans="6:6" ht="15" customHeight="1" x14ac:dyDescent="0.35">
      <c r="F60" s="2" t="str">
        <f t="shared" si="1"/>
        <v/>
      </c>
    </row>
    <row r="61" spans="6:6" ht="15" customHeight="1" x14ac:dyDescent="0.35">
      <c r="F61" s="2" t="str">
        <f t="shared" si="1"/>
        <v/>
      </c>
    </row>
    <row r="62" spans="6:6" ht="15" customHeight="1" x14ac:dyDescent="0.35">
      <c r="F62" s="2" t="str">
        <f t="shared" si="1"/>
        <v/>
      </c>
    </row>
    <row r="63" spans="6:6" ht="15" customHeight="1" x14ac:dyDescent="0.35">
      <c r="F63" s="2" t="str">
        <f t="shared" si="1"/>
        <v/>
      </c>
    </row>
    <row r="64" spans="6:6" ht="15" customHeight="1" x14ac:dyDescent="0.35">
      <c r="F64" s="2" t="str">
        <f t="shared" si="1"/>
        <v/>
      </c>
    </row>
    <row r="65" spans="6:6" ht="15" customHeight="1" x14ac:dyDescent="0.35">
      <c r="F65" s="2" t="str">
        <f t="shared" si="1"/>
        <v/>
      </c>
    </row>
    <row r="66" spans="6:6" ht="15" customHeight="1" x14ac:dyDescent="0.35">
      <c r="F66" s="2" t="str">
        <f t="shared" si="1"/>
        <v/>
      </c>
    </row>
    <row r="67" spans="6:6" ht="15" customHeight="1" x14ac:dyDescent="0.35">
      <c r="F67" s="2" t="str">
        <f t="shared" si="1"/>
        <v/>
      </c>
    </row>
    <row r="68" spans="6:6" ht="15" customHeight="1" x14ac:dyDescent="0.35">
      <c r="F68" s="2" t="str">
        <f t="shared" ref="F68:F99" si="2">IF($A68="","",IF(OR($A68="",$E68=""),"Missing required field",IF(COUNTIF($A$4:$A$200,$A68)&gt;1,"Duplicate competitor name","OK")))</f>
        <v/>
      </c>
    </row>
    <row r="69" spans="6:6" ht="15" customHeight="1" x14ac:dyDescent="0.35">
      <c r="F69" s="2" t="str">
        <f t="shared" si="2"/>
        <v/>
      </c>
    </row>
    <row r="70" spans="6:6" ht="15" customHeight="1" x14ac:dyDescent="0.35">
      <c r="F70" s="2" t="str">
        <f t="shared" si="2"/>
        <v/>
      </c>
    </row>
    <row r="71" spans="6:6" ht="15" customHeight="1" x14ac:dyDescent="0.35">
      <c r="F71" s="2" t="str">
        <f t="shared" si="2"/>
        <v/>
      </c>
    </row>
    <row r="72" spans="6:6" ht="15" customHeight="1" x14ac:dyDescent="0.35">
      <c r="F72" s="2" t="str">
        <f t="shared" si="2"/>
        <v/>
      </c>
    </row>
    <row r="73" spans="6:6" ht="15" customHeight="1" x14ac:dyDescent="0.35">
      <c r="F73" s="2" t="str">
        <f t="shared" si="2"/>
        <v/>
      </c>
    </row>
    <row r="74" spans="6:6" ht="15" customHeight="1" x14ac:dyDescent="0.35">
      <c r="F74" s="2" t="str">
        <f t="shared" si="2"/>
        <v/>
      </c>
    </row>
    <row r="75" spans="6:6" ht="15" customHeight="1" x14ac:dyDescent="0.35">
      <c r="F75" s="2" t="str">
        <f t="shared" si="2"/>
        <v/>
      </c>
    </row>
    <row r="76" spans="6:6" ht="15" customHeight="1" x14ac:dyDescent="0.35">
      <c r="F76" s="2" t="str">
        <f t="shared" si="2"/>
        <v/>
      </c>
    </row>
    <row r="77" spans="6:6" ht="15" customHeight="1" x14ac:dyDescent="0.35">
      <c r="F77" s="2" t="str">
        <f t="shared" si="2"/>
        <v/>
      </c>
    </row>
    <row r="78" spans="6:6" ht="15" customHeight="1" x14ac:dyDescent="0.35">
      <c r="F78" s="2" t="str">
        <f t="shared" si="2"/>
        <v/>
      </c>
    </row>
    <row r="79" spans="6:6" ht="15" customHeight="1" x14ac:dyDescent="0.35">
      <c r="F79" s="2" t="str">
        <f t="shared" si="2"/>
        <v/>
      </c>
    </row>
    <row r="80" spans="6:6" ht="15" customHeight="1" x14ac:dyDescent="0.35">
      <c r="F80" s="2" t="str">
        <f t="shared" si="2"/>
        <v/>
      </c>
    </row>
    <row r="81" spans="6:6" ht="15" customHeight="1" x14ac:dyDescent="0.35">
      <c r="F81" s="2" t="str">
        <f t="shared" si="2"/>
        <v/>
      </c>
    </row>
    <row r="82" spans="6:6" ht="15" customHeight="1" x14ac:dyDescent="0.35">
      <c r="F82" s="2" t="str">
        <f t="shared" si="2"/>
        <v/>
      </c>
    </row>
    <row r="83" spans="6:6" ht="15" customHeight="1" x14ac:dyDescent="0.35">
      <c r="F83" s="2" t="str">
        <f t="shared" si="2"/>
        <v/>
      </c>
    </row>
    <row r="84" spans="6:6" ht="15" customHeight="1" x14ac:dyDescent="0.35">
      <c r="F84" s="2" t="str">
        <f t="shared" si="2"/>
        <v/>
      </c>
    </row>
    <row r="85" spans="6:6" ht="15" customHeight="1" x14ac:dyDescent="0.35">
      <c r="F85" s="2" t="str">
        <f t="shared" si="2"/>
        <v/>
      </c>
    </row>
    <row r="86" spans="6:6" ht="15" customHeight="1" x14ac:dyDescent="0.35">
      <c r="F86" s="2" t="str">
        <f t="shared" si="2"/>
        <v/>
      </c>
    </row>
    <row r="87" spans="6:6" ht="15" customHeight="1" x14ac:dyDescent="0.35">
      <c r="F87" s="2" t="str">
        <f t="shared" si="2"/>
        <v/>
      </c>
    </row>
    <row r="88" spans="6:6" ht="15" customHeight="1" x14ac:dyDescent="0.35">
      <c r="F88" s="2" t="str">
        <f t="shared" si="2"/>
        <v/>
      </c>
    </row>
    <row r="89" spans="6:6" ht="15" customHeight="1" x14ac:dyDescent="0.35">
      <c r="F89" s="2" t="str">
        <f t="shared" si="2"/>
        <v/>
      </c>
    </row>
    <row r="90" spans="6:6" ht="15" customHeight="1" x14ac:dyDescent="0.35">
      <c r="F90" s="2" t="str">
        <f t="shared" si="2"/>
        <v/>
      </c>
    </row>
    <row r="91" spans="6:6" ht="15" customHeight="1" x14ac:dyDescent="0.35">
      <c r="F91" s="2" t="str">
        <f t="shared" si="2"/>
        <v/>
      </c>
    </row>
    <row r="92" spans="6:6" ht="15" customHeight="1" x14ac:dyDescent="0.35">
      <c r="F92" s="2" t="str">
        <f t="shared" si="2"/>
        <v/>
      </c>
    </row>
    <row r="93" spans="6:6" ht="15" customHeight="1" x14ac:dyDescent="0.35">
      <c r="F93" s="2" t="str">
        <f t="shared" si="2"/>
        <v/>
      </c>
    </row>
    <row r="94" spans="6:6" ht="15" customHeight="1" x14ac:dyDescent="0.35">
      <c r="F94" s="2" t="str">
        <f t="shared" si="2"/>
        <v/>
      </c>
    </row>
    <row r="95" spans="6:6" ht="15" customHeight="1" x14ac:dyDescent="0.35">
      <c r="F95" s="2" t="str">
        <f t="shared" si="2"/>
        <v/>
      </c>
    </row>
    <row r="96" spans="6:6" ht="15" customHeight="1" x14ac:dyDescent="0.35">
      <c r="F96" s="2" t="str">
        <f t="shared" si="2"/>
        <v/>
      </c>
    </row>
    <row r="97" spans="6:6" ht="15" customHeight="1" x14ac:dyDescent="0.35">
      <c r="F97" s="2" t="str">
        <f t="shared" si="2"/>
        <v/>
      </c>
    </row>
    <row r="98" spans="6:6" ht="15" customHeight="1" x14ac:dyDescent="0.35">
      <c r="F98" s="2" t="str">
        <f t="shared" si="2"/>
        <v/>
      </c>
    </row>
    <row r="99" spans="6:6" ht="15" customHeight="1" x14ac:dyDescent="0.35">
      <c r="F99" s="2" t="str">
        <f t="shared" si="2"/>
        <v/>
      </c>
    </row>
    <row r="100" spans="6:6" ht="15" customHeight="1" x14ac:dyDescent="0.35">
      <c r="F100" s="2" t="str">
        <f t="shared" ref="F100:F131" si="3">IF($A100="","",IF(OR($A100="",$E100=""),"Missing required field",IF(COUNTIF($A$4:$A$200,$A100)&gt;1,"Duplicate competitor name","OK")))</f>
        <v/>
      </c>
    </row>
    <row r="101" spans="6:6" ht="15" customHeight="1" x14ac:dyDescent="0.35">
      <c r="F101" s="2" t="str">
        <f t="shared" si="3"/>
        <v/>
      </c>
    </row>
    <row r="102" spans="6:6" ht="15" customHeight="1" x14ac:dyDescent="0.35">
      <c r="F102" s="2" t="str">
        <f t="shared" si="3"/>
        <v/>
      </c>
    </row>
    <row r="103" spans="6:6" ht="15" customHeight="1" x14ac:dyDescent="0.35">
      <c r="F103" s="2" t="str">
        <f t="shared" si="3"/>
        <v/>
      </c>
    </row>
    <row r="104" spans="6:6" ht="15" customHeight="1" x14ac:dyDescent="0.35">
      <c r="F104" s="2" t="str">
        <f t="shared" si="3"/>
        <v/>
      </c>
    </row>
    <row r="105" spans="6:6" ht="15" customHeight="1" x14ac:dyDescent="0.35">
      <c r="F105" s="2" t="str">
        <f t="shared" si="3"/>
        <v/>
      </c>
    </row>
    <row r="106" spans="6:6" ht="15" customHeight="1" x14ac:dyDescent="0.35">
      <c r="F106" s="2" t="str">
        <f t="shared" si="3"/>
        <v/>
      </c>
    </row>
    <row r="107" spans="6:6" ht="15" customHeight="1" x14ac:dyDescent="0.35">
      <c r="F107" s="2" t="str">
        <f t="shared" si="3"/>
        <v/>
      </c>
    </row>
    <row r="108" spans="6:6" ht="15" customHeight="1" x14ac:dyDescent="0.35">
      <c r="F108" s="2" t="str">
        <f t="shared" si="3"/>
        <v/>
      </c>
    </row>
    <row r="109" spans="6:6" ht="15" customHeight="1" x14ac:dyDescent="0.35">
      <c r="F109" s="2" t="str">
        <f t="shared" si="3"/>
        <v/>
      </c>
    </row>
    <row r="110" spans="6:6" ht="15" customHeight="1" x14ac:dyDescent="0.35">
      <c r="F110" s="2" t="str">
        <f t="shared" si="3"/>
        <v/>
      </c>
    </row>
    <row r="111" spans="6:6" ht="15" customHeight="1" x14ac:dyDescent="0.35">
      <c r="F111" s="2" t="str">
        <f t="shared" si="3"/>
        <v/>
      </c>
    </row>
    <row r="112" spans="6:6" ht="15" customHeight="1" x14ac:dyDescent="0.35">
      <c r="F112" s="2" t="str">
        <f t="shared" si="3"/>
        <v/>
      </c>
    </row>
    <row r="113" spans="6:6" ht="15" customHeight="1" x14ac:dyDescent="0.35">
      <c r="F113" s="2" t="str">
        <f t="shared" si="3"/>
        <v/>
      </c>
    </row>
    <row r="114" spans="6:6" ht="15" customHeight="1" x14ac:dyDescent="0.35">
      <c r="F114" s="2" t="str">
        <f t="shared" si="3"/>
        <v/>
      </c>
    </row>
    <row r="115" spans="6:6" ht="15" customHeight="1" x14ac:dyDescent="0.35">
      <c r="F115" s="2" t="str">
        <f t="shared" si="3"/>
        <v/>
      </c>
    </row>
    <row r="116" spans="6:6" ht="15" customHeight="1" x14ac:dyDescent="0.35">
      <c r="F116" s="2" t="str">
        <f t="shared" si="3"/>
        <v/>
      </c>
    </row>
    <row r="117" spans="6:6" ht="15" customHeight="1" x14ac:dyDescent="0.35">
      <c r="F117" s="2" t="str">
        <f t="shared" si="3"/>
        <v/>
      </c>
    </row>
    <row r="118" spans="6:6" ht="15" customHeight="1" x14ac:dyDescent="0.35">
      <c r="F118" s="2" t="str">
        <f t="shared" si="3"/>
        <v/>
      </c>
    </row>
    <row r="119" spans="6:6" ht="15" customHeight="1" x14ac:dyDescent="0.35">
      <c r="F119" s="2" t="str">
        <f t="shared" si="3"/>
        <v/>
      </c>
    </row>
    <row r="120" spans="6:6" ht="15" customHeight="1" x14ac:dyDescent="0.35">
      <c r="F120" s="2" t="str">
        <f t="shared" si="3"/>
        <v/>
      </c>
    </row>
    <row r="121" spans="6:6" ht="15" customHeight="1" x14ac:dyDescent="0.35">
      <c r="F121" s="2" t="str">
        <f t="shared" si="3"/>
        <v/>
      </c>
    </row>
    <row r="122" spans="6:6" ht="15" customHeight="1" x14ac:dyDescent="0.35">
      <c r="F122" s="2" t="str">
        <f t="shared" si="3"/>
        <v/>
      </c>
    </row>
    <row r="123" spans="6:6" ht="15" customHeight="1" x14ac:dyDescent="0.35">
      <c r="F123" s="2" t="str">
        <f t="shared" si="3"/>
        <v/>
      </c>
    </row>
    <row r="124" spans="6:6" ht="15" customHeight="1" x14ac:dyDescent="0.35">
      <c r="F124" s="2" t="str">
        <f t="shared" si="3"/>
        <v/>
      </c>
    </row>
    <row r="125" spans="6:6" ht="15" customHeight="1" x14ac:dyDescent="0.35">
      <c r="F125" s="2" t="str">
        <f t="shared" si="3"/>
        <v/>
      </c>
    </row>
    <row r="126" spans="6:6" ht="15" customHeight="1" x14ac:dyDescent="0.35">
      <c r="F126" s="2" t="str">
        <f t="shared" si="3"/>
        <v/>
      </c>
    </row>
    <row r="127" spans="6:6" ht="15" customHeight="1" x14ac:dyDescent="0.35">
      <c r="F127" s="2" t="str">
        <f t="shared" si="3"/>
        <v/>
      </c>
    </row>
    <row r="128" spans="6:6" ht="15" customHeight="1" x14ac:dyDescent="0.35">
      <c r="F128" s="2" t="str">
        <f t="shared" si="3"/>
        <v/>
      </c>
    </row>
    <row r="129" spans="6:6" ht="15" customHeight="1" x14ac:dyDescent="0.35">
      <c r="F129" s="2" t="str">
        <f t="shared" si="3"/>
        <v/>
      </c>
    </row>
    <row r="130" spans="6:6" ht="15" customHeight="1" x14ac:dyDescent="0.35">
      <c r="F130" s="2" t="str">
        <f t="shared" si="3"/>
        <v/>
      </c>
    </row>
    <row r="131" spans="6:6" ht="15" customHeight="1" x14ac:dyDescent="0.35">
      <c r="F131" s="2" t="str">
        <f t="shared" si="3"/>
        <v/>
      </c>
    </row>
    <row r="132" spans="6:6" ht="15" customHeight="1" x14ac:dyDescent="0.35">
      <c r="F132" s="2" t="str">
        <f t="shared" ref="F132:F163" si="4">IF($A132="","",IF(OR($A132="",$E132=""),"Missing required field",IF(COUNTIF($A$4:$A$200,$A132)&gt;1,"Duplicate competitor name","OK")))</f>
        <v/>
      </c>
    </row>
    <row r="133" spans="6:6" ht="15" customHeight="1" x14ac:dyDescent="0.35">
      <c r="F133" s="2" t="str">
        <f t="shared" si="4"/>
        <v/>
      </c>
    </row>
    <row r="134" spans="6:6" ht="15" customHeight="1" x14ac:dyDescent="0.35">
      <c r="F134" s="2" t="str">
        <f t="shared" si="4"/>
        <v/>
      </c>
    </row>
    <row r="135" spans="6:6" ht="15" customHeight="1" x14ac:dyDescent="0.35">
      <c r="F135" s="2" t="str">
        <f t="shared" si="4"/>
        <v/>
      </c>
    </row>
    <row r="136" spans="6:6" ht="15" customHeight="1" x14ac:dyDescent="0.35">
      <c r="F136" s="2" t="str">
        <f t="shared" si="4"/>
        <v/>
      </c>
    </row>
    <row r="137" spans="6:6" ht="15" customHeight="1" x14ac:dyDescent="0.35">
      <c r="F137" s="2" t="str">
        <f t="shared" si="4"/>
        <v/>
      </c>
    </row>
    <row r="138" spans="6:6" ht="15" customHeight="1" x14ac:dyDescent="0.35">
      <c r="F138" s="2" t="str">
        <f t="shared" si="4"/>
        <v/>
      </c>
    </row>
    <row r="139" spans="6:6" ht="15" customHeight="1" x14ac:dyDescent="0.35">
      <c r="F139" s="2" t="str">
        <f t="shared" si="4"/>
        <v/>
      </c>
    </row>
    <row r="140" spans="6:6" ht="15" customHeight="1" x14ac:dyDescent="0.35">
      <c r="F140" s="2" t="str">
        <f t="shared" si="4"/>
        <v/>
      </c>
    </row>
    <row r="141" spans="6:6" ht="15" customHeight="1" x14ac:dyDescent="0.35">
      <c r="F141" s="2" t="str">
        <f t="shared" si="4"/>
        <v/>
      </c>
    </row>
    <row r="142" spans="6:6" ht="15" customHeight="1" x14ac:dyDescent="0.35">
      <c r="F142" s="2" t="str">
        <f t="shared" si="4"/>
        <v/>
      </c>
    </row>
    <row r="143" spans="6:6" ht="15" customHeight="1" x14ac:dyDescent="0.35">
      <c r="F143" s="2" t="str">
        <f t="shared" si="4"/>
        <v/>
      </c>
    </row>
    <row r="144" spans="6:6" ht="15" customHeight="1" x14ac:dyDescent="0.35">
      <c r="F144" s="2" t="str">
        <f t="shared" si="4"/>
        <v/>
      </c>
    </row>
    <row r="145" spans="6:6" ht="15" customHeight="1" x14ac:dyDescent="0.35">
      <c r="F145" s="2" t="str">
        <f t="shared" si="4"/>
        <v/>
      </c>
    </row>
    <row r="146" spans="6:6" ht="15" customHeight="1" x14ac:dyDescent="0.35">
      <c r="F146" s="2" t="str">
        <f t="shared" si="4"/>
        <v/>
      </c>
    </row>
    <row r="147" spans="6:6" ht="15" customHeight="1" x14ac:dyDescent="0.35">
      <c r="F147" s="2" t="str">
        <f t="shared" si="4"/>
        <v/>
      </c>
    </row>
    <row r="148" spans="6:6" ht="15" customHeight="1" x14ac:dyDescent="0.35">
      <c r="F148" s="2" t="str">
        <f t="shared" si="4"/>
        <v/>
      </c>
    </row>
    <row r="149" spans="6:6" ht="15" customHeight="1" x14ac:dyDescent="0.35">
      <c r="F149" s="2" t="str">
        <f t="shared" si="4"/>
        <v/>
      </c>
    </row>
    <row r="150" spans="6:6" ht="15" customHeight="1" x14ac:dyDescent="0.35">
      <c r="F150" s="2" t="str">
        <f t="shared" si="4"/>
        <v/>
      </c>
    </row>
    <row r="151" spans="6:6" ht="15" customHeight="1" x14ac:dyDescent="0.35">
      <c r="F151" s="2" t="str">
        <f t="shared" si="4"/>
        <v/>
      </c>
    </row>
    <row r="152" spans="6:6" ht="15" customHeight="1" x14ac:dyDescent="0.35">
      <c r="F152" s="2" t="str">
        <f t="shared" si="4"/>
        <v/>
      </c>
    </row>
    <row r="153" spans="6:6" ht="15" customHeight="1" x14ac:dyDescent="0.35">
      <c r="F153" s="2" t="str">
        <f t="shared" si="4"/>
        <v/>
      </c>
    </row>
    <row r="154" spans="6:6" ht="15" customHeight="1" x14ac:dyDescent="0.35">
      <c r="F154" s="2" t="str">
        <f t="shared" si="4"/>
        <v/>
      </c>
    </row>
    <row r="155" spans="6:6" ht="15" customHeight="1" x14ac:dyDescent="0.35">
      <c r="F155" s="2" t="str">
        <f t="shared" si="4"/>
        <v/>
      </c>
    </row>
    <row r="156" spans="6:6" ht="15" customHeight="1" x14ac:dyDescent="0.35">
      <c r="F156" s="2" t="str">
        <f t="shared" si="4"/>
        <v/>
      </c>
    </row>
    <row r="157" spans="6:6" ht="15" customHeight="1" x14ac:dyDescent="0.35">
      <c r="F157" s="2" t="str">
        <f t="shared" si="4"/>
        <v/>
      </c>
    </row>
    <row r="158" spans="6:6" ht="15" customHeight="1" x14ac:dyDescent="0.35">
      <c r="F158" s="2" t="str">
        <f t="shared" si="4"/>
        <v/>
      </c>
    </row>
    <row r="159" spans="6:6" ht="15" customHeight="1" x14ac:dyDescent="0.35">
      <c r="F159" s="2" t="str">
        <f t="shared" si="4"/>
        <v/>
      </c>
    </row>
    <row r="160" spans="6:6" ht="15" customHeight="1" x14ac:dyDescent="0.35">
      <c r="F160" s="2" t="str">
        <f t="shared" si="4"/>
        <v/>
      </c>
    </row>
    <row r="161" spans="6:6" ht="15" customHeight="1" x14ac:dyDescent="0.35">
      <c r="F161" s="2" t="str">
        <f t="shared" si="4"/>
        <v/>
      </c>
    </row>
    <row r="162" spans="6:6" ht="15" customHeight="1" x14ac:dyDescent="0.35">
      <c r="F162" s="2" t="str">
        <f t="shared" si="4"/>
        <v/>
      </c>
    </row>
    <row r="163" spans="6:6" ht="15" customHeight="1" x14ac:dyDescent="0.35">
      <c r="F163" s="2" t="str">
        <f t="shared" si="4"/>
        <v/>
      </c>
    </row>
    <row r="164" spans="6:6" ht="15" customHeight="1" x14ac:dyDescent="0.35">
      <c r="F164" s="2" t="str">
        <f t="shared" ref="F164:F200" si="5">IF($A164="","",IF(OR($A164="",$E164=""),"Missing required field",IF(COUNTIF($A$4:$A$200,$A164)&gt;1,"Duplicate competitor name","OK")))</f>
        <v/>
      </c>
    </row>
    <row r="165" spans="6:6" ht="15" customHeight="1" x14ac:dyDescent="0.35">
      <c r="F165" s="2" t="str">
        <f t="shared" si="5"/>
        <v/>
      </c>
    </row>
    <row r="166" spans="6:6" ht="15" customHeight="1" x14ac:dyDescent="0.35">
      <c r="F166" s="2" t="str">
        <f t="shared" si="5"/>
        <v/>
      </c>
    </row>
    <row r="167" spans="6:6" ht="15" customHeight="1" x14ac:dyDescent="0.35">
      <c r="F167" s="2" t="str">
        <f t="shared" si="5"/>
        <v/>
      </c>
    </row>
    <row r="168" spans="6:6" ht="15" customHeight="1" x14ac:dyDescent="0.35">
      <c r="F168" s="2" t="str">
        <f t="shared" si="5"/>
        <v/>
      </c>
    </row>
    <row r="169" spans="6:6" ht="15" customHeight="1" x14ac:dyDescent="0.35">
      <c r="F169" s="2" t="str">
        <f t="shared" si="5"/>
        <v/>
      </c>
    </row>
    <row r="170" spans="6:6" ht="15" customHeight="1" x14ac:dyDescent="0.35">
      <c r="F170" s="2" t="str">
        <f t="shared" si="5"/>
        <v/>
      </c>
    </row>
    <row r="171" spans="6:6" ht="15" customHeight="1" x14ac:dyDescent="0.35">
      <c r="F171" s="2" t="str">
        <f t="shared" si="5"/>
        <v/>
      </c>
    </row>
    <row r="172" spans="6:6" ht="15" customHeight="1" x14ac:dyDescent="0.35">
      <c r="F172" s="2" t="str">
        <f t="shared" si="5"/>
        <v/>
      </c>
    </row>
    <row r="173" spans="6:6" ht="15" customHeight="1" x14ac:dyDescent="0.35">
      <c r="F173" s="2" t="str">
        <f t="shared" si="5"/>
        <v/>
      </c>
    </row>
    <row r="174" spans="6:6" ht="15" customHeight="1" x14ac:dyDescent="0.35">
      <c r="F174" s="2" t="str">
        <f t="shared" si="5"/>
        <v/>
      </c>
    </row>
    <row r="175" spans="6:6" ht="15" customHeight="1" x14ac:dyDescent="0.35">
      <c r="F175" s="2" t="str">
        <f t="shared" si="5"/>
        <v/>
      </c>
    </row>
    <row r="176" spans="6:6" ht="15" customHeight="1" x14ac:dyDescent="0.35">
      <c r="F176" s="2" t="str">
        <f t="shared" si="5"/>
        <v/>
      </c>
    </row>
    <row r="177" spans="6:6" ht="15" customHeight="1" x14ac:dyDescent="0.35">
      <c r="F177" s="2" t="str">
        <f t="shared" si="5"/>
        <v/>
      </c>
    </row>
    <row r="178" spans="6:6" ht="15" customHeight="1" x14ac:dyDescent="0.35">
      <c r="F178" s="2" t="str">
        <f t="shared" si="5"/>
        <v/>
      </c>
    </row>
    <row r="179" spans="6:6" ht="15" customHeight="1" x14ac:dyDescent="0.35">
      <c r="F179" s="2" t="str">
        <f t="shared" si="5"/>
        <v/>
      </c>
    </row>
    <row r="180" spans="6:6" ht="15" customHeight="1" x14ac:dyDescent="0.35">
      <c r="F180" s="2" t="str">
        <f t="shared" si="5"/>
        <v/>
      </c>
    </row>
    <row r="181" spans="6:6" ht="15" customHeight="1" x14ac:dyDescent="0.35">
      <c r="F181" s="2" t="str">
        <f t="shared" si="5"/>
        <v/>
      </c>
    </row>
    <row r="182" spans="6:6" ht="15" customHeight="1" x14ac:dyDescent="0.35">
      <c r="F182" s="2" t="str">
        <f t="shared" si="5"/>
        <v/>
      </c>
    </row>
    <row r="183" spans="6:6" ht="15" customHeight="1" x14ac:dyDescent="0.35">
      <c r="F183" s="2" t="str">
        <f t="shared" si="5"/>
        <v/>
      </c>
    </row>
    <row r="184" spans="6:6" ht="15" customHeight="1" x14ac:dyDescent="0.35">
      <c r="F184" s="2" t="str">
        <f t="shared" si="5"/>
        <v/>
      </c>
    </row>
    <row r="185" spans="6:6" ht="15" customHeight="1" x14ac:dyDescent="0.35">
      <c r="F185" s="2" t="str">
        <f t="shared" si="5"/>
        <v/>
      </c>
    </row>
    <row r="186" spans="6:6" ht="15" customHeight="1" x14ac:dyDescent="0.35">
      <c r="F186" s="2" t="str">
        <f t="shared" si="5"/>
        <v/>
      </c>
    </row>
    <row r="187" spans="6:6" ht="15" customHeight="1" x14ac:dyDescent="0.35">
      <c r="F187" s="2" t="str">
        <f t="shared" si="5"/>
        <v/>
      </c>
    </row>
    <row r="188" spans="6:6" ht="15" customHeight="1" x14ac:dyDescent="0.35">
      <c r="F188" s="2" t="str">
        <f t="shared" si="5"/>
        <v/>
      </c>
    </row>
    <row r="189" spans="6:6" ht="15" customHeight="1" x14ac:dyDescent="0.35">
      <c r="F189" s="2" t="str">
        <f t="shared" si="5"/>
        <v/>
      </c>
    </row>
    <row r="190" spans="6:6" ht="15" customHeight="1" x14ac:dyDescent="0.35">
      <c r="F190" s="2" t="str">
        <f t="shared" si="5"/>
        <v/>
      </c>
    </row>
    <row r="191" spans="6:6" ht="15" customHeight="1" x14ac:dyDescent="0.35">
      <c r="F191" s="2" t="str">
        <f t="shared" si="5"/>
        <v/>
      </c>
    </row>
    <row r="192" spans="6:6" ht="15" customHeight="1" x14ac:dyDescent="0.35">
      <c r="F192" s="2" t="str">
        <f t="shared" si="5"/>
        <v/>
      </c>
    </row>
    <row r="193" spans="6:6" ht="15" customHeight="1" x14ac:dyDescent="0.35">
      <c r="F193" s="2" t="str">
        <f t="shared" si="5"/>
        <v/>
      </c>
    </row>
    <row r="194" spans="6:6" ht="15" customHeight="1" x14ac:dyDescent="0.35">
      <c r="F194" s="2" t="str">
        <f t="shared" si="5"/>
        <v/>
      </c>
    </row>
    <row r="195" spans="6:6" ht="15" customHeight="1" x14ac:dyDescent="0.35">
      <c r="F195" s="2" t="str">
        <f t="shared" si="5"/>
        <v/>
      </c>
    </row>
    <row r="196" spans="6:6" ht="15" customHeight="1" x14ac:dyDescent="0.35">
      <c r="F196" s="2" t="str">
        <f t="shared" si="5"/>
        <v/>
      </c>
    </row>
    <row r="197" spans="6:6" ht="15" customHeight="1" x14ac:dyDescent="0.35">
      <c r="F197" s="2" t="str">
        <f t="shared" si="5"/>
        <v/>
      </c>
    </row>
    <row r="198" spans="6:6" ht="15" customHeight="1" x14ac:dyDescent="0.35">
      <c r="F198" s="2" t="str">
        <f t="shared" si="5"/>
        <v/>
      </c>
    </row>
    <row r="199" spans="6:6" ht="15" customHeight="1" x14ac:dyDescent="0.35">
      <c r="F199" s="2" t="str">
        <f t="shared" si="5"/>
        <v/>
      </c>
    </row>
    <row r="200" spans="6:6" ht="15" customHeight="1" x14ac:dyDescent="0.35">
      <c r="F200" s="2" t="str">
        <f t="shared" si="5"/>
        <v/>
      </c>
    </row>
  </sheetData>
  <mergeCells count="2">
    <mergeCell ref="A1:D1"/>
    <mergeCell ref="A2:D2"/>
  </mergeCells>
  <conditionalFormatting sqref="F4:F200">
    <cfRule type="expression" dxfId="1" priority="2">
      <formula>AND(F4&lt;&gt;"",F4&lt;&gt;"OK")</formula>
    </cfRule>
    <cfRule type="expression" dxfId="0" priority="3">
      <formula>F4="OK"</formula>
    </cfRule>
  </conditionalFormatting>
  <dataValidations count="1">
    <dataValidation type="list" allowBlank="1" sqref="E4:E200" xr:uid="{00000000-0002-0000-0B00-000000000000}">
      <formula1>BusinessGroupsList</formula1>
      <formula2>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8"/>
  <sheetViews>
    <sheetView topLeftCell="E1" workbookViewId="0">
      <selection activeCell="M8" sqref="M8"/>
    </sheetView>
  </sheetViews>
  <sheetFormatPr defaultRowHeight="14.5" x14ac:dyDescent="0.35"/>
  <cols>
    <col min="1" max="5" width="18" customWidth="1"/>
    <col min="6" max="6" width="18.81640625" customWidth="1"/>
    <col min="7" max="16" width="18" customWidth="1"/>
  </cols>
  <sheetData>
    <row r="1" spans="1:16" s="12" customFormat="1" ht="21" x14ac:dyDescent="0.35">
      <c r="A1" s="73" t="s">
        <v>189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x14ac:dyDescent="0.35">
      <c r="A2" s="74" t="s">
        <v>190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s="12" customFormat="1" ht="29" x14ac:dyDescent="0.35">
      <c r="A3" s="11" t="s">
        <v>191</v>
      </c>
      <c r="B3" s="11" t="s">
        <v>88</v>
      </c>
      <c r="C3" s="11" t="s">
        <v>89</v>
      </c>
      <c r="D3" s="11" t="s">
        <v>90</v>
      </c>
      <c r="E3" s="11" t="s">
        <v>91</v>
      </c>
      <c r="F3" s="11" t="s">
        <v>192</v>
      </c>
      <c r="G3" s="11" t="s">
        <v>193</v>
      </c>
      <c r="H3" s="11" t="s">
        <v>194</v>
      </c>
      <c r="I3" s="11" t="s">
        <v>195</v>
      </c>
      <c r="J3" s="11" t="s">
        <v>196</v>
      </c>
      <c r="K3" s="11" t="s">
        <v>197</v>
      </c>
      <c r="L3" s="11" t="s">
        <v>198</v>
      </c>
      <c r="M3" s="11" t="s">
        <v>199</v>
      </c>
      <c r="N3" s="11" t="s">
        <v>200</v>
      </c>
      <c r="O3" s="11" t="s">
        <v>201</v>
      </c>
      <c r="P3" s="11" t="s">
        <v>48</v>
      </c>
    </row>
    <row r="4" spans="1:16" ht="31" x14ac:dyDescent="0.35">
      <c r="A4" s="59" t="s">
        <v>202</v>
      </c>
      <c r="B4" s="59" t="s">
        <v>51</v>
      </c>
      <c r="C4" s="59" t="s">
        <v>58</v>
      </c>
      <c r="D4" s="59" t="s">
        <v>55</v>
      </c>
      <c r="E4" s="59" t="s">
        <v>56</v>
      </c>
      <c r="F4" s="59" t="s">
        <v>203</v>
      </c>
      <c r="G4" s="59" t="s">
        <v>204</v>
      </c>
      <c r="H4" s="59" t="s">
        <v>159</v>
      </c>
      <c r="I4" s="59">
        <v>21</v>
      </c>
      <c r="J4" s="59">
        <v>16.3</v>
      </c>
      <c r="K4" s="59">
        <v>4.7</v>
      </c>
      <c r="L4" s="59" t="s">
        <v>101</v>
      </c>
      <c r="M4" s="59" t="s">
        <v>205</v>
      </c>
      <c r="N4" s="59" t="s">
        <v>206</v>
      </c>
      <c r="O4" s="59" t="s">
        <v>207</v>
      </c>
      <c r="P4" s="59" t="s">
        <v>208</v>
      </c>
    </row>
    <row r="5" spans="1:16" ht="15.5" x14ac:dyDescent="0.35">
      <c r="A5" s="59" t="s">
        <v>425</v>
      </c>
      <c r="B5" s="59" t="s">
        <v>426</v>
      </c>
      <c r="C5" s="59" t="s">
        <v>74</v>
      </c>
      <c r="D5" s="59" t="s">
        <v>362</v>
      </c>
      <c r="E5" s="59" t="s">
        <v>422</v>
      </c>
      <c r="F5" s="59" t="s">
        <v>203</v>
      </c>
      <c r="G5" s="59" t="s">
        <v>423</v>
      </c>
      <c r="H5" s="59" t="s">
        <v>424</v>
      </c>
      <c r="I5" s="59">
        <v>266.14999999999998</v>
      </c>
      <c r="J5" s="59">
        <v>190</v>
      </c>
      <c r="K5" s="59">
        <v>76.150000000000006</v>
      </c>
      <c r="L5" s="59" t="s">
        <v>101</v>
      </c>
      <c r="M5" s="59"/>
      <c r="N5" s="59"/>
      <c r="O5" s="59"/>
      <c r="P5" s="59"/>
    </row>
    <row r="6" spans="1:16" ht="15.5" x14ac:dyDescent="0.35">
      <c r="A6" s="59" t="s">
        <v>427</v>
      </c>
      <c r="B6" s="59"/>
      <c r="C6" s="59" t="s">
        <v>74</v>
      </c>
      <c r="D6" s="59" t="s">
        <v>430</v>
      </c>
      <c r="E6" s="59" t="s">
        <v>404</v>
      </c>
      <c r="F6" s="59" t="s">
        <v>203</v>
      </c>
      <c r="G6" s="59" t="s">
        <v>432</v>
      </c>
      <c r="H6" s="59" t="s">
        <v>437</v>
      </c>
      <c r="I6" s="59">
        <v>117.22</v>
      </c>
      <c r="J6" s="59">
        <v>100</v>
      </c>
      <c r="K6" s="59">
        <v>17.22</v>
      </c>
      <c r="L6" s="59" t="s">
        <v>101</v>
      </c>
      <c r="M6" s="59"/>
      <c r="N6" s="59"/>
      <c r="O6" s="59"/>
      <c r="P6" s="59"/>
    </row>
    <row r="7" spans="1:16" ht="15.5" x14ac:dyDescent="0.35">
      <c r="A7" s="59" t="s">
        <v>231</v>
      </c>
      <c r="B7" s="60"/>
      <c r="C7" s="59" t="s">
        <v>74</v>
      </c>
      <c r="D7" s="60" t="s">
        <v>361</v>
      </c>
      <c r="E7" s="60" t="s">
        <v>371</v>
      </c>
      <c r="F7" s="59" t="s">
        <v>203</v>
      </c>
      <c r="G7" s="60" t="s">
        <v>433</v>
      </c>
      <c r="H7" s="60" t="s">
        <v>436</v>
      </c>
      <c r="I7" s="60">
        <v>72.53</v>
      </c>
      <c r="J7" s="60">
        <v>50</v>
      </c>
      <c r="K7" s="60">
        <v>22.53</v>
      </c>
      <c r="L7" s="59" t="s">
        <v>101</v>
      </c>
      <c r="M7" s="60"/>
      <c r="N7" s="60"/>
      <c r="O7" s="60"/>
      <c r="P7" s="60"/>
    </row>
    <row r="8" spans="1:16" ht="15.5" x14ac:dyDescent="0.35">
      <c r="A8" s="59" t="s">
        <v>428</v>
      </c>
      <c r="B8" s="60"/>
      <c r="C8" s="59" t="s">
        <v>74</v>
      </c>
      <c r="D8" s="60" t="s">
        <v>358</v>
      </c>
      <c r="E8" s="60" t="s">
        <v>358</v>
      </c>
      <c r="F8" s="59" t="s">
        <v>203</v>
      </c>
      <c r="G8" s="60" t="s">
        <v>434</v>
      </c>
      <c r="H8" s="60" t="s">
        <v>437</v>
      </c>
      <c r="I8" s="60">
        <v>398.74</v>
      </c>
      <c r="J8" s="60">
        <v>220</v>
      </c>
      <c r="K8" s="60">
        <f>I8-J8</f>
        <v>178.74</v>
      </c>
      <c r="L8" s="59" t="s">
        <v>101</v>
      </c>
      <c r="M8" s="60"/>
      <c r="N8" s="60"/>
      <c r="O8" s="60"/>
      <c r="P8" s="60"/>
    </row>
    <row r="9" spans="1:16" ht="15.5" x14ac:dyDescent="0.35">
      <c r="A9" s="59" t="s">
        <v>429</v>
      </c>
      <c r="B9" s="60"/>
      <c r="C9" s="59" t="s">
        <v>74</v>
      </c>
      <c r="D9" s="60" t="s">
        <v>431</v>
      </c>
      <c r="E9" s="60" t="s">
        <v>366</v>
      </c>
      <c r="F9" s="59" t="s">
        <v>203</v>
      </c>
      <c r="G9" s="60" t="s">
        <v>435</v>
      </c>
      <c r="H9" s="60" t="s">
        <v>436</v>
      </c>
      <c r="I9" s="60">
        <v>128.69999999999999</v>
      </c>
      <c r="J9" s="60">
        <v>95</v>
      </c>
      <c r="K9" s="60">
        <f>I9-J9</f>
        <v>33.699999999999989</v>
      </c>
      <c r="L9" s="59" t="s">
        <v>101</v>
      </c>
      <c r="M9" s="60"/>
      <c r="N9" s="60"/>
      <c r="O9" s="60"/>
      <c r="P9" s="60"/>
    </row>
    <row r="10" spans="1:16" ht="15.5" x14ac:dyDescent="0.3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16" ht="15.5" x14ac:dyDescent="0.3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</row>
    <row r="12" spans="1:16" ht="15.5" x14ac:dyDescent="0.3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</row>
    <row r="13" spans="1:16" ht="15.5" x14ac:dyDescent="0.3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</row>
    <row r="14" spans="1:16" ht="15.5" x14ac:dyDescent="0.3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</row>
    <row r="15" spans="1:16" ht="15.5" x14ac:dyDescent="0.3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</row>
    <row r="16" spans="1:16" ht="15.5" x14ac:dyDescent="0.3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spans="1:16" ht="15.5" x14ac:dyDescent="0.3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spans="1:16" ht="15.5" x14ac:dyDescent="0.3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</sheetData>
  <mergeCells count="2">
    <mergeCell ref="A1:P1"/>
    <mergeCell ref="A2:P2"/>
  </mergeCells>
  <phoneticPr fontId="3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2"/>
  <sheetViews>
    <sheetView topLeftCell="H1" workbookViewId="0">
      <selection activeCell="P13" sqref="P13"/>
    </sheetView>
  </sheetViews>
  <sheetFormatPr defaultRowHeight="14.5" x14ac:dyDescent="0.35"/>
  <cols>
    <col min="1" max="15" width="18" customWidth="1"/>
  </cols>
  <sheetData>
    <row r="1" spans="1:15" ht="21" x14ac:dyDescent="0.35">
      <c r="A1" s="75" t="s">
        <v>209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x14ac:dyDescent="0.35">
      <c r="A2" s="74" t="s">
        <v>210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s="12" customFormat="1" ht="30.5" x14ac:dyDescent="0.35">
      <c r="A3" s="13" t="s">
        <v>211</v>
      </c>
      <c r="B3" s="13" t="s">
        <v>212</v>
      </c>
      <c r="C3" s="13" t="s">
        <v>89</v>
      </c>
      <c r="D3" s="13" t="s">
        <v>135</v>
      </c>
      <c r="E3" s="13" t="s">
        <v>136</v>
      </c>
      <c r="F3" s="61" t="s">
        <v>213</v>
      </c>
      <c r="G3" s="61" t="s">
        <v>214</v>
      </c>
      <c r="H3" s="61" t="s">
        <v>215</v>
      </c>
      <c r="I3" s="61" t="s">
        <v>216</v>
      </c>
      <c r="J3" s="61" t="s">
        <v>217</v>
      </c>
      <c r="K3" s="61" t="s">
        <v>218</v>
      </c>
      <c r="L3" s="61" t="s">
        <v>219</v>
      </c>
      <c r="M3" s="61" t="s">
        <v>220</v>
      </c>
      <c r="N3" s="61" t="s">
        <v>221</v>
      </c>
      <c r="O3" s="61" t="s">
        <v>222</v>
      </c>
    </row>
    <row r="4" spans="1:15" ht="46.5" x14ac:dyDescent="0.35">
      <c r="A4" s="9" t="s">
        <v>223</v>
      </c>
      <c r="B4" s="9" t="s">
        <v>202</v>
      </c>
      <c r="C4" s="9" t="s">
        <v>58</v>
      </c>
      <c r="D4" s="9" t="s">
        <v>55</v>
      </c>
      <c r="E4" s="9" t="s">
        <v>56</v>
      </c>
      <c r="F4" s="59" t="s">
        <v>224</v>
      </c>
      <c r="G4" s="59" t="s">
        <v>188</v>
      </c>
      <c r="H4" s="59" t="s">
        <v>225</v>
      </c>
      <c r="I4" s="59" t="s">
        <v>226</v>
      </c>
      <c r="J4" s="59" t="s">
        <v>227</v>
      </c>
      <c r="K4" s="59" t="s">
        <v>228</v>
      </c>
      <c r="L4" s="59" t="s">
        <v>229</v>
      </c>
      <c r="M4" s="59" t="s">
        <v>230</v>
      </c>
      <c r="N4" s="59" t="s">
        <v>231</v>
      </c>
      <c r="O4" s="59" t="s">
        <v>232</v>
      </c>
    </row>
    <row r="5" spans="1:15" ht="15.5" x14ac:dyDescent="0.35">
      <c r="A5" s="9"/>
      <c r="B5" s="9"/>
      <c r="C5" s="9"/>
      <c r="D5" s="9"/>
      <c r="E5" s="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ht="15.5" x14ac:dyDescent="0.35">
      <c r="A6" s="9"/>
      <c r="B6" s="9"/>
      <c r="C6" s="9"/>
      <c r="D6" s="9"/>
      <c r="E6" s="9"/>
      <c r="F6" s="59"/>
      <c r="G6" s="59"/>
      <c r="H6" s="59"/>
      <c r="I6" s="59"/>
      <c r="J6" s="59"/>
      <c r="K6" s="59"/>
      <c r="L6" s="59"/>
      <c r="M6" s="59"/>
      <c r="N6" s="59"/>
      <c r="O6" s="59"/>
    </row>
    <row r="7" spans="1:15" ht="15.5" x14ac:dyDescent="0.35">
      <c r="F7" s="60"/>
      <c r="G7" s="60"/>
      <c r="H7" s="60"/>
      <c r="I7" s="60"/>
      <c r="J7" s="60"/>
      <c r="K7" s="60"/>
      <c r="L7" s="60"/>
      <c r="M7" s="60"/>
      <c r="N7" s="60"/>
      <c r="O7" s="60"/>
    </row>
    <row r="8" spans="1:15" ht="15.5" x14ac:dyDescent="0.35">
      <c r="F8" s="60"/>
      <c r="G8" s="60"/>
      <c r="H8" s="60"/>
      <c r="I8" s="60"/>
      <c r="J8" s="60"/>
      <c r="K8" s="60"/>
      <c r="L8" s="60"/>
      <c r="M8" s="60"/>
      <c r="N8" s="60"/>
      <c r="O8" s="60"/>
    </row>
    <row r="9" spans="1:15" ht="15.5" x14ac:dyDescent="0.35">
      <c r="F9" s="60"/>
      <c r="G9" s="60"/>
      <c r="H9" s="60"/>
      <c r="I9" s="60"/>
      <c r="J9" s="60"/>
      <c r="K9" s="60"/>
      <c r="L9" s="60"/>
      <c r="M9" s="60"/>
      <c r="N9" s="60"/>
      <c r="O9" s="60"/>
    </row>
    <row r="10" spans="1:15" ht="15.5" x14ac:dyDescent="0.35"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spans="1:15" ht="15.5" x14ac:dyDescent="0.35">
      <c r="F11" s="60"/>
      <c r="G11" s="60"/>
      <c r="H11" s="60"/>
      <c r="I11" s="60"/>
      <c r="J11" s="60"/>
      <c r="K11" s="60"/>
      <c r="L11" s="60"/>
      <c r="M11" s="60"/>
      <c r="N11" s="60"/>
      <c r="O11" s="60"/>
    </row>
    <row r="12" spans="1:15" ht="15.5" x14ac:dyDescent="0.35"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1:15" ht="15.5" x14ac:dyDescent="0.35"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spans="1:15" ht="15.5" x14ac:dyDescent="0.35">
      <c r="F14" s="60"/>
      <c r="G14" s="60"/>
      <c r="H14" s="60"/>
      <c r="I14" s="60"/>
      <c r="J14" s="60"/>
      <c r="K14" s="60"/>
      <c r="L14" s="60"/>
      <c r="M14" s="60"/>
      <c r="N14" s="60"/>
      <c r="O14" s="60"/>
    </row>
    <row r="15" spans="1:15" ht="15.5" x14ac:dyDescent="0.35">
      <c r="F15" s="60"/>
      <c r="G15" s="60"/>
      <c r="H15" s="60"/>
      <c r="I15" s="60"/>
      <c r="J15" s="60"/>
      <c r="K15" s="60"/>
      <c r="L15" s="60"/>
      <c r="M15" s="60"/>
      <c r="N15" s="60"/>
      <c r="O15" s="60"/>
    </row>
    <row r="16" spans="1:15" ht="15.5" x14ac:dyDescent="0.35"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spans="6:15" ht="15.5" x14ac:dyDescent="0.35"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18" spans="6:15" ht="15.5" x14ac:dyDescent="0.35">
      <c r="F18" s="60"/>
      <c r="G18" s="60"/>
      <c r="H18" s="60"/>
      <c r="I18" s="60"/>
      <c r="J18" s="60"/>
      <c r="K18" s="60"/>
      <c r="L18" s="60"/>
      <c r="M18" s="60"/>
      <c r="N18" s="60"/>
      <c r="O18" s="60"/>
    </row>
    <row r="19" spans="6:15" ht="15.5" x14ac:dyDescent="0.35">
      <c r="F19" s="60"/>
      <c r="G19" s="60"/>
      <c r="H19" s="60"/>
      <c r="I19" s="60"/>
      <c r="J19" s="60"/>
      <c r="K19" s="60"/>
      <c r="L19" s="60"/>
      <c r="M19" s="60"/>
      <c r="N19" s="60"/>
      <c r="O19" s="60"/>
    </row>
    <row r="20" spans="6:15" ht="15.5" x14ac:dyDescent="0.35">
      <c r="F20" s="60"/>
      <c r="G20" s="60"/>
      <c r="H20" s="60"/>
      <c r="I20" s="60"/>
      <c r="J20" s="60"/>
      <c r="K20" s="60"/>
      <c r="L20" s="60"/>
      <c r="M20" s="60"/>
      <c r="N20" s="60"/>
      <c r="O20" s="60"/>
    </row>
    <row r="21" spans="6:15" ht="15.5" x14ac:dyDescent="0.35"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6:15" ht="15.5" x14ac:dyDescent="0.35">
      <c r="F22" s="60"/>
      <c r="G22" s="60"/>
      <c r="H22" s="60"/>
      <c r="I22" s="60"/>
      <c r="J22" s="60"/>
      <c r="K22" s="60"/>
      <c r="L22" s="60"/>
      <c r="M22" s="60"/>
      <c r="N22" s="60"/>
      <c r="O22" s="60"/>
    </row>
  </sheetData>
  <mergeCells count="2">
    <mergeCell ref="A1:O1"/>
    <mergeCell ref="A2:O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"/>
  <sheetViews>
    <sheetView topLeftCell="H1" workbookViewId="0">
      <selection activeCell="B9" sqref="B9"/>
    </sheetView>
  </sheetViews>
  <sheetFormatPr defaultRowHeight="14.5" x14ac:dyDescent="0.35"/>
  <cols>
    <col min="1" max="1" width="18" customWidth="1"/>
    <col min="2" max="2" width="19.453125" customWidth="1"/>
    <col min="3" max="4" width="18" customWidth="1"/>
    <col min="5" max="5" width="14.81640625" customWidth="1"/>
    <col min="6" max="6" width="21.7265625" customWidth="1"/>
    <col min="7" max="7" width="19.26953125" customWidth="1"/>
    <col min="8" max="8" width="19.1796875" customWidth="1"/>
    <col min="9" max="12" width="18" customWidth="1"/>
  </cols>
  <sheetData>
    <row r="1" spans="1:12" s="12" customFormat="1" ht="21" x14ac:dyDescent="0.35">
      <c r="A1" s="73" t="s">
        <v>233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x14ac:dyDescent="0.35">
      <c r="A2" s="74" t="s">
        <v>234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s="12" customFormat="1" ht="29" x14ac:dyDescent="0.35">
      <c r="A3" s="13" t="s">
        <v>235</v>
      </c>
      <c r="B3" s="13" t="s">
        <v>236</v>
      </c>
      <c r="C3" s="13" t="s">
        <v>237</v>
      </c>
      <c r="D3" s="13" t="s">
        <v>238</v>
      </c>
      <c r="E3" s="13" t="s">
        <v>239</v>
      </c>
      <c r="F3" s="13" t="s">
        <v>240</v>
      </c>
      <c r="G3" s="13" t="s">
        <v>241</v>
      </c>
      <c r="H3" s="13" t="s">
        <v>242</v>
      </c>
      <c r="I3" s="13" t="s">
        <v>243</v>
      </c>
      <c r="J3" s="13" t="s">
        <v>244</v>
      </c>
      <c r="K3" s="13" t="s">
        <v>219</v>
      </c>
      <c r="L3" s="13" t="s">
        <v>187</v>
      </c>
    </row>
    <row r="4" spans="1:12" ht="31" x14ac:dyDescent="0.35">
      <c r="A4" s="59" t="s">
        <v>245</v>
      </c>
      <c r="B4" s="59" t="s">
        <v>246</v>
      </c>
      <c r="C4" s="59" t="s">
        <v>247</v>
      </c>
      <c r="D4" s="59" t="s">
        <v>248</v>
      </c>
      <c r="E4" s="59" t="s">
        <v>249</v>
      </c>
      <c r="F4" s="59" t="s">
        <v>250</v>
      </c>
      <c r="G4" s="59" t="s">
        <v>251</v>
      </c>
      <c r="H4" s="59" t="s">
        <v>105</v>
      </c>
      <c r="I4" s="59" t="s">
        <v>252</v>
      </c>
      <c r="J4" s="59" t="s">
        <v>19</v>
      </c>
      <c r="K4" s="59" t="s">
        <v>229</v>
      </c>
      <c r="L4" s="59" t="s">
        <v>253</v>
      </c>
    </row>
    <row r="5" spans="1:12" ht="31" x14ac:dyDescent="0.35">
      <c r="A5" s="59" t="s">
        <v>254</v>
      </c>
      <c r="B5" s="59" t="s">
        <v>255</v>
      </c>
      <c r="C5" s="59" t="s">
        <v>247</v>
      </c>
      <c r="D5" s="59" t="s">
        <v>256</v>
      </c>
      <c r="E5" s="59" t="s">
        <v>249</v>
      </c>
      <c r="F5" s="59" t="s">
        <v>257</v>
      </c>
      <c r="G5" s="59" t="s">
        <v>258</v>
      </c>
      <c r="H5" s="59" t="s">
        <v>105</v>
      </c>
      <c r="I5" s="59" t="s">
        <v>252</v>
      </c>
      <c r="J5" s="59" t="s">
        <v>259</v>
      </c>
      <c r="K5" s="59" t="s">
        <v>229</v>
      </c>
      <c r="L5" s="59" t="s">
        <v>253</v>
      </c>
    </row>
    <row r="6" spans="1:12" ht="46.5" x14ac:dyDescent="0.35">
      <c r="A6" s="59" t="s">
        <v>260</v>
      </c>
      <c r="B6" s="59" t="s">
        <v>261</v>
      </c>
      <c r="C6" s="59" t="s">
        <v>247</v>
      </c>
      <c r="D6" s="59" t="s">
        <v>256</v>
      </c>
      <c r="E6" s="59" t="s">
        <v>249</v>
      </c>
      <c r="F6" s="59" t="s">
        <v>262</v>
      </c>
      <c r="G6" s="59" t="s">
        <v>258</v>
      </c>
      <c r="H6" s="59" t="s">
        <v>105</v>
      </c>
      <c r="I6" s="59" t="s">
        <v>252</v>
      </c>
      <c r="J6" s="59" t="s">
        <v>263</v>
      </c>
      <c r="K6" s="59" t="s">
        <v>229</v>
      </c>
      <c r="L6" s="59" t="s">
        <v>253</v>
      </c>
    </row>
    <row r="7" spans="1:12" ht="31" x14ac:dyDescent="0.35">
      <c r="A7" s="59" t="s">
        <v>264</v>
      </c>
      <c r="B7" s="59" t="s">
        <v>265</v>
      </c>
      <c r="C7" s="59" t="s">
        <v>247</v>
      </c>
      <c r="D7" s="59" t="s">
        <v>266</v>
      </c>
      <c r="E7" s="59" t="s">
        <v>249</v>
      </c>
      <c r="F7" s="59" t="s">
        <v>267</v>
      </c>
      <c r="G7" s="59" t="s">
        <v>258</v>
      </c>
      <c r="H7" s="59" t="s">
        <v>105</v>
      </c>
      <c r="I7" s="59" t="s">
        <v>252</v>
      </c>
      <c r="J7" s="59" t="s">
        <v>268</v>
      </c>
      <c r="K7" s="59" t="s">
        <v>229</v>
      </c>
      <c r="L7" s="59" t="s">
        <v>253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8"/>
  <sheetViews>
    <sheetView workbookViewId="0">
      <selection activeCell="B6" sqref="B6"/>
    </sheetView>
  </sheetViews>
  <sheetFormatPr defaultRowHeight="14.5" x14ac:dyDescent="0.35"/>
  <cols>
    <col min="1" max="11" width="18" customWidth="1"/>
  </cols>
  <sheetData>
    <row r="1" spans="1:11" s="12" customFormat="1" ht="21" x14ac:dyDescent="0.35">
      <c r="A1" s="73" t="s">
        <v>269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x14ac:dyDescent="0.35">
      <c r="A2" s="74" t="s">
        <v>270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s="12" customFormat="1" ht="29" x14ac:dyDescent="0.35">
      <c r="A3" s="13" t="s">
        <v>271</v>
      </c>
      <c r="B3" s="13" t="s">
        <v>272</v>
      </c>
      <c r="C3" s="13" t="s">
        <v>127</v>
      </c>
      <c r="D3" s="13" t="s">
        <v>273</v>
      </c>
      <c r="E3" s="13" t="s">
        <v>239</v>
      </c>
      <c r="F3" s="13" t="s">
        <v>274</v>
      </c>
      <c r="G3" s="13" t="s">
        <v>238</v>
      </c>
      <c r="H3" s="13" t="s">
        <v>275</v>
      </c>
      <c r="I3" s="13" t="s">
        <v>276</v>
      </c>
      <c r="J3" s="13" t="s">
        <v>219</v>
      </c>
      <c r="K3" s="13" t="s">
        <v>187</v>
      </c>
    </row>
    <row r="4" spans="1:11" ht="29" x14ac:dyDescent="0.35">
      <c r="A4" s="10" t="s">
        <v>277</v>
      </c>
      <c r="B4" s="10" t="s">
        <v>278</v>
      </c>
      <c r="C4" s="10" t="s">
        <v>279</v>
      </c>
      <c r="D4" s="10" t="s">
        <v>280</v>
      </c>
      <c r="E4" s="10" t="s">
        <v>249</v>
      </c>
      <c r="F4" s="10" t="s">
        <v>281</v>
      </c>
      <c r="G4" s="10" t="s">
        <v>282</v>
      </c>
      <c r="H4" s="10" t="s">
        <v>283</v>
      </c>
      <c r="I4" s="10"/>
      <c r="J4" s="10" t="s">
        <v>279</v>
      </c>
      <c r="K4" s="10" t="s">
        <v>253</v>
      </c>
    </row>
    <row r="5" spans="1:11" ht="43.5" x14ac:dyDescent="0.35">
      <c r="A5" s="10" t="s">
        <v>284</v>
      </c>
      <c r="B5" s="10" t="s">
        <v>285</v>
      </c>
      <c r="C5" s="10" t="s">
        <v>286</v>
      </c>
      <c r="D5" s="10" t="s">
        <v>287</v>
      </c>
      <c r="E5" s="10" t="s">
        <v>249</v>
      </c>
      <c r="F5" s="10" t="s">
        <v>19</v>
      </c>
      <c r="G5" s="10" t="s">
        <v>248</v>
      </c>
      <c r="H5" s="10" t="s">
        <v>283</v>
      </c>
      <c r="I5" s="10"/>
      <c r="J5" s="10" t="s">
        <v>229</v>
      </c>
      <c r="K5" s="10" t="s">
        <v>253</v>
      </c>
    </row>
    <row r="6" spans="1:11" ht="43.5" x14ac:dyDescent="0.35">
      <c r="A6" s="10" t="s">
        <v>288</v>
      </c>
      <c r="B6" s="10" t="s">
        <v>289</v>
      </c>
      <c r="C6" s="10" t="s">
        <v>290</v>
      </c>
      <c r="D6" s="10" t="s">
        <v>291</v>
      </c>
      <c r="E6" s="10" t="s">
        <v>249</v>
      </c>
      <c r="F6" s="10" t="s">
        <v>259</v>
      </c>
      <c r="G6" s="10" t="s">
        <v>248</v>
      </c>
      <c r="H6" s="10" t="s">
        <v>292</v>
      </c>
      <c r="I6" s="10"/>
      <c r="J6" s="10" t="s">
        <v>229</v>
      </c>
      <c r="K6" s="10" t="s">
        <v>253</v>
      </c>
    </row>
    <row r="7" spans="1:11" ht="43.5" x14ac:dyDescent="0.35">
      <c r="A7" s="10" t="s">
        <v>293</v>
      </c>
      <c r="B7" s="10" t="s">
        <v>294</v>
      </c>
      <c r="C7" s="10" t="s">
        <v>172</v>
      </c>
      <c r="D7" s="10" t="s">
        <v>295</v>
      </c>
      <c r="E7" s="10" t="s">
        <v>249</v>
      </c>
      <c r="F7" s="10" t="s">
        <v>263</v>
      </c>
      <c r="G7" s="10" t="s">
        <v>256</v>
      </c>
      <c r="H7" s="10" t="s">
        <v>296</v>
      </c>
      <c r="I7" s="10"/>
      <c r="J7" s="10" t="s">
        <v>229</v>
      </c>
      <c r="K7" s="10" t="s">
        <v>253</v>
      </c>
    </row>
    <row r="8" spans="1:11" ht="29" x14ac:dyDescent="0.35">
      <c r="A8" s="10" t="s">
        <v>297</v>
      </c>
      <c r="B8" s="10" t="s">
        <v>298</v>
      </c>
      <c r="C8" s="10" t="s">
        <v>279</v>
      </c>
      <c r="D8" s="10" t="s">
        <v>299</v>
      </c>
      <c r="E8" s="10" t="s">
        <v>249</v>
      </c>
      <c r="F8" s="10" t="s">
        <v>281</v>
      </c>
      <c r="G8" s="10" t="s">
        <v>256</v>
      </c>
      <c r="H8" s="10" t="s">
        <v>300</v>
      </c>
      <c r="I8" s="10"/>
      <c r="J8" s="10" t="s">
        <v>279</v>
      </c>
      <c r="K8" s="10" t="s">
        <v>253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"/>
  <sheetViews>
    <sheetView workbookViewId="0">
      <selection activeCell="D11" sqref="D11"/>
    </sheetView>
  </sheetViews>
  <sheetFormatPr defaultRowHeight="14.5" x14ac:dyDescent="0.35"/>
  <cols>
    <col min="1" max="11" width="18" customWidth="1"/>
  </cols>
  <sheetData>
    <row r="1" spans="1:11" s="17" customFormat="1" ht="21" x14ac:dyDescent="0.35">
      <c r="A1" s="76" t="s">
        <v>301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35">
      <c r="A2" s="74" t="s">
        <v>302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s="19" customFormat="1" ht="30.5" x14ac:dyDescent="0.35">
      <c r="A3" s="62" t="s">
        <v>303</v>
      </c>
      <c r="B3" s="62" t="s">
        <v>304</v>
      </c>
      <c r="C3" s="62" t="s">
        <v>305</v>
      </c>
      <c r="D3" s="62" t="s">
        <v>306</v>
      </c>
      <c r="E3" s="62" t="s">
        <v>307</v>
      </c>
      <c r="F3" s="62" t="s">
        <v>238</v>
      </c>
      <c r="G3" s="62" t="s">
        <v>308</v>
      </c>
      <c r="H3" s="62" t="s">
        <v>309</v>
      </c>
      <c r="I3" s="62" t="s">
        <v>219</v>
      </c>
      <c r="J3" s="62" t="s">
        <v>310</v>
      </c>
      <c r="K3" s="62" t="s">
        <v>187</v>
      </c>
    </row>
    <row r="4" spans="1:11" ht="31" x14ac:dyDescent="0.35">
      <c r="A4" s="59" t="s">
        <v>311</v>
      </c>
      <c r="B4" s="59" t="s">
        <v>312</v>
      </c>
      <c r="C4" s="59" t="s">
        <v>313</v>
      </c>
      <c r="D4" s="59" t="s">
        <v>314</v>
      </c>
      <c r="E4" s="59" t="s">
        <v>315</v>
      </c>
      <c r="F4" s="59" t="s">
        <v>316</v>
      </c>
      <c r="G4" s="59" t="s">
        <v>317</v>
      </c>
      <c r="H4" s="59" t="s">
        <v>318</v>
      </c>
      <c r="I4" s="59" t="s">
        <v>319</v>
      </c>
      <c r="J4" s="59" t="s">
        <v>320</v>
      </c>
      <c r="K4" s="59" t="s">
        <v>321</v>
      </c>
    </row>
    <row r="5" spans="1:11" ht="31" x14ac:dyDescent="0.35">
      <c r="A5" s="59" t="s">
        <v>322</v>
      </c>
      <c r="B5" s="59" t="s">
        <v>313</v>
      </c>
      <c r="C5" s="59" t="s">
        <v>323</v>
      </c>
      <c r="D5" s="59" t="s">
        <v>324</v>
      </c>
      <c r="E5" s="59" t="s">
        <v>325</v>
      </c>
      <c r="F5" s="59" t="s">
        <v>316</v>
      </c>
      <c r="G5" s="59" t="s">
        <v>326</v>
      </c>
      <c r="H5" s="59" t="s">
        <v>327</v>
      </c>
      <c r="I5" s="59" t="s">
        <v>319</v>
      </c>
      <c r="J5" s="59" t="s">
        <v>328</v>
      </c>
      <c r="K5" s="59" t="s">
        <v>321</v>
      </c>
    </row>
    <row r="6" spans="1:11" ht="31" x14ac:dyDescent="0.35">
      <c r="A6" s="59" t="s">
        <v>329</v>
      </c>
      <c r="B6" s="59" t="s">
        <v>313</v>
      </c>
      <c r="C6" s="59" t="s">
        <v>330</v>
      </c>
      <c r="D6" s="59" t="s">
        <v>331</v>
      </c>
      <c r="E6" s="59" t="s">
        <v>332</v>
      </c>
      <c r="F6" s="59" t="s">
        <v>333</v>
      </c>
      <c r="G6" s="59" t="s">
        <v>317</v>
      </c>
      <c r="H6" s="59" t="s">
        <v>334</v>
      </c>
      <c r="I6" s="59" t="s">
        <v>319</v>
      </c>
      <c r="J6" s="59" t="s">
        <v>335</v>
      </c>
      <c r="K6" s="59" t="s">
        <v>321</v>
      </c>
    </row>
    <row r="7" spans="1:11" ht="15.5" x14ac:dyDescent="0.3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</row>
  </sheetData>
  <mergeCells count="2">
    <mergeCell ref="A1:K1"/>
    <mergeCell ref="A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8"/>
  <sheetViews>
    <sheetView tabSelected="1" workbookViewId="0">
      <selection activeCell="G13" sqref="G13"/>
    </sheetView>
  </sheetViews>
  <sheetFormatPr defaultRowHeight="14.5" x14ac:dyDescent="0.35"/>
  <cols>
    <col min="1" max="10" width="18" customWidth="1"/>
    <col min="11" max="11" width="18.453125" customWidth="1"/>
    <col min="12" max="15" width="18" customWidth="1"/>
  </cols>
  <sheetData>
    <row r="1" spans="1:15" s="17" customFormat="1" ht="21" x14ac:dyDescent="0.35">
      <c r="A1" s="76" t="s">
        <v>336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35">
      <c r="A2" s="74" t="s">
        <v>337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s="19" customFormat="1" ht="30.5" x14ac:dyDescent="0.35">
      <c r="A3" s="62" t="s">
        <v>338</v>
      </c>
      <c r="B3" s="62" t="s">
        <v>339</v>
      </c>
      <c r="C3" s="62" t="s">
        <v>89</v>
      </c>
      <c r="D3" s="62" t="s">
        <v>135</v>
      </c>
      <c r="E3" s="62" t="s">
        <v>136</v>
      </c>
      <c r="F3" s="62" t="s">
        <v>340</v>
      </c>
      <c r="G3" s="62" t="s">
        <v>341</v>
      </c>
      <c r="H3" s="62" t="s">
        <v>342</v>
      </c>
      <c r="I3" s="62" t="s">
        <v>343</v>
      </c>
      <c r="J3" s="62" t="s">
        <v>344</v>
      </c>
      <c r="K3" s="62" t="s">
        <v>345</v>
      </c>
      <c r="L3" s="62" t="s">
        <v>346</v>
      </c>
      <c r="M3" s="62" t="s">
        <v>347</v>
      </c>
      <c r="N3" s="62" t="s">
        <v>348</v>
      </c>
      <c r="O3" s="62" t="s">
        <v>48</v>
      </c>
    </row>
    <row r="4" spans="1:15" ht="31" x14ac:dyDescent="0.35">
      <c r="A4" s="59" t="s">
        <v>349</v>
      </c>
      <c r="B4" s="59" t="s">
        <v>202</v>
      </c>
      <c r="C4" s="59" t="s">
        <v>74</v>
      </c>
      <c r="D4" s="59" t="s">
        <v>55</v>
      </c>
      <c r="E4" s="59" t="s">
        <v>56</v>
      </c>
      <c r="F4" s="59" t="s">
        <v>99</v>
      </c>
      <c r="G4" s="59" t="s">
        <v>350</v>
      </c>
      <c r="H4" s="59" t="s">
        <v>351</v>
      </c>
      <c r="I4" s="59" t="s">
        <v>352</v>
      </c>
      <c r="J4" s="59" t="s">
        <v>353</v>
      </c>
      <c r="K4" s="59" t="s">
        <v>51</v>
      </c>
      <c r="L4" s="59" t="s">
        <v>184</v>
      </c>
      <c r="M4" s="59"/>
      <c r="N4" s="59" t="s">
        <v>354</v>
      </c>
      <c r="O4" s="59" t="s">
        <v>232</v>
      </c>
    </row>
    <row r="5" spans="1:15" ht="15.5" x14ac:dyDescent="0.3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ht="15.5" x14ac:dyDescent="0.3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</row>
    <row r="7" spans="1:15" ht="15.5" x14ac:dyDescent="0.3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</row>
    <row r="8" spans="1:15" ht="15.5" x14ac:dyDescent="0.3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</row>
    <row r="9" spans="1:15" ht="15.5" x14ac:dyDescent="0.3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</row>
    <row r="10" spans="1:15" ht="15.5" x14ac:dyDescent="0.3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spans="1:15" ht="15.5" x14ac:dyDescent="0.3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</row>
    <row r="12" spans="1:15" ht="15.5" x14ac:dyDescent="0.3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1:15" ht="15.5" x14ac:dyDescent="0.3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spans="1:15" ht="15.5" x14ac:dyDescent="0.3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</row>
    <row r="15" spans="1:15" ht="15.5" x14ac:dyDescent="0.3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</row>
    <row r="16" spans="1:15" ht="15.5" x14ac:dyDescent="0.3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spans="1:15" ht="15.5" x14ac:dyDescent="0.3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18" spans="1:15" ht="15.5" x14ac:dyDescent="0.3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Instructions</vt:lpstr>
      <vt:lpstr>Users</vt:lpstr>
      <vt:lpstr>Business Groups</vt:lpstr>
      <vt:lpstr>Market Visit Reports</vt:lpstr>
      <vt:lpstr>Regions</vt:lpstr>
      <vt:lpstr>Outlets</vt:lpstr>
      <vt:lpstr>Products</vt:lpstr>
      <vt:lpstr>Customers</vt:lpstr>
      <vt:lpstr>Customer Interviews</vt:lpstr>
      <vt:lpstr>Weekly Sales</vt:lpstr>
      <vt:lpstr>Surveys &amp; Questionnaires</vt:lpstr>
      <vt:lpstr>Competitors</vt:lpstr>
      <vt:lpstr>Competitor Intelligence</vt:lpstr>
      <vt:lpstr>Alerts &amp; Risks</vt:lpstr>
      <vt:lpstr>Report Catalogue</vt:lpstr>
      <vt:lpstr>KPI</vt:lpstr>
      <vt:lpstr>Integration</vt:lpstr>
      <vt:lpstr>Multimedia Register</vt:lpstr>
      <vt:lpstr>BusinessGroupsList</vt:lpstr>
      <vt:lpstr>CustomersList</vt:lpstr>
      <vt:lpstr>OutletsList</vt:lpstr>
      <vt:lpstr>ProductsList</vt:lpstr>
      <vt:lpstr>RegionsList</vt:lpstr>
      <vt:lpstr>UsersList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Tsegaye Nigussue</dc:creator>
  <cp:lastModifiedBy>Bulto Challa</cp:lastModifiedBy>
  <dcterms:created xsi:type="dcterms:W3CDTF">2026-08-19T11:20:37Z</dcterms:created>
  <dcterms:modified xsi:type="dcterms:W3CDTF">2026-08-22T18:33:23Z</dcterms:modified>
</cp:coreProperties>
</file>