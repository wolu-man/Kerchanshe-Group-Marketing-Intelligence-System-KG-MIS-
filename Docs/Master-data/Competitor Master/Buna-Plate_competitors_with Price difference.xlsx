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2026 Projects\MIS\Docs\Master-data\Competitor-master\"/>
    </mc:Choice>
  </mc:AlternateContent>
  <xr:revisionPtr revIDLastSave="0" documentId="13_ncr:1_{2FC5F95D-0B02-4299-809C-F5D130E44E0B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Buna plate Competito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2" i="1" l="1"/>
  <c r="I32" i="1" s="1"/>
  <c r="H31" i="1"/>
  <c r="I31" i="1" s="1"/>
  <c r="H30" i="1"/>
  <c r="I30" i="1" s="1"/>
  <c r="H29" i="1"/>
  <c r="I29" i="1" s="1"/>
  <c r="H28" i="1"/>
  <c r="I28" i="1" s="1"/>
  <c r="I27" i="1"/>
  <c r="I26" i="1"/>
  <c r="I25" i="1"/>
  <c r="I24" i="1"/>
  <c r="I23" i="1"/>
  <c r="I22" i="1"/>
  <c r="I21" i="1"/>
  <c r="H20" i="1"/>
  <c r="I20" i="1" s="1"/>
  <c r="H19" i="1"/>
  <c r="I19" i="1" s="1"/>
  <c r="H18" i="1"/>
  <c r="I18" i="1" s="1"/>
  <c r="H17" i="1"/>
  <c r="I17" i="1" s="1"/>
  <c r="H16" i="1"/>
  <c r="I16" i="1" s="1"/>
  <c r="H15" i="1"/>
  <c r="I15" i="1" s="1"/>
  <c r="H14" i="1"/>
  <c r="I14" i="1" s="1"/>
  <c r="H13" i="1"/>
  <c r="I13" i="1" s="1"/>
  <c r="H12" i="1"/>
  <c r="I12" i="1" s="1"/>
  <c r="H11" i="1"/>
  <c r="I11" i="1" s="1"/>
  <c r="H10" i="1"/>
  <c r="I10" i="1" s="1"/>
  <c r="H9" i="1"/>
  <c r="I9" i="1" s="1"/>
  <c r="H8" i="1"/>
  <c r="I8" i="1" s="1"/>
  <c r="H7" i="1"/>
  <c r="I7" i="1" s="1"/>
  <c r="H6" i="1"/>
  <c r="I6" i="1" s="1"/>
  <c r="H5" i="1"/>
  <c r="I5" i="1" s="1"/>
  <c r="H4" i="1"/>
  <c r="I4" i="1" s="1"/>
  <c r="H3" i="1"/>
  <c r="I3" i="1" s="1"/>
  <c r="H2" i="1"/>
  <c r="I2" i="1" s="1"/>
</calcChain>
</file>

<file path=xl/sharedStrings.xml><?xml version="1.0" encoding="utf-8"?>
<sst xmlns="http://schemas.openxmlformats.org/spreadsheetml/2006/main" count="63" uniqueCount="45">
  <si>
    <t xml:space="preserve">No </t>
  </si>
  <si>
    <t>Date</t>
  </si>
  <si>
    <t>Competitors Brand Name</t>
  </si>
  <si>
    <t>Price Difference</t>
  </si>
  <si>
    <t>Price difference in Percentage</t>
  </si>
  <si>
    <t>Remarks</t>
  </si>
  <si>
    <t>15/05/2026</t>
  </si>
  <si>
    <t>Round Plate</t>
  </si>
  <si>
    <t>Des</t>
  </si>
  <si>
    <t>ITAI</t>
  </si>
  <si>
    <t>Eurovision</t>
  </si>
  <si>
    <t>BY</t>
  </si>
  <si>
    <t>XK16</t>
  </si>
  <si>
    <t>MD</t>
  </si>
  <si>
    <t>Everware</t>
  </si>
  <si>
    <t>Antiline</t>
  </si>
  <si>
    <t>Lina</t>
  </si>
  <si>
    <t>Bowl</t>
  </si>
  <si>
    <t>KB 1107B</t>
  </si>
  <si>
    <t>HUADA</t>
  </si>
  <si>
    <t xml:space="preserve">Rectangular Plate </t>
  </si>
  <si>
    <t>BP-5</t>
  </si>
  <si>
    <t>STAR</t>
  </si>
  <si>
    <t>TRAY</t>
  </si>
  <si>
    <t>KB 21135</t>
  </si>
  <si>
    <t>DES</t>
  </si>
  <si>
    <t>DING DANG</t>
  </si>
  <si>
    <t>KB10055B</t>
  </si>
  <si>
    <t>MUG(M1)</t>
  </si>
  <si>
    <t>BM1</t>
  </si>
  <si>
    <t>Leaf bowl</t>
  </si>
  <si>
    <t>KB 60253 A</t>
  </si>
  <si>
    <t xml:space="preserve"> KB 1109A</t>
  </si>
  <si>
    <t>Flower Small Dish (ketchup plate)</t>
  </si>
  <si>
    <t>KB 61085</t>
  </si>
  <si>
    <t>EVERWARE</t>
  </si>
  <si>
    <t>BP 4</t>
  </si>
  <si>
    <t>Kerchanshe Product Name</t>
  </si>
  <si>
    <t>Kerchanshe Item Code</t>
  </si>
  <si>
    <t xml:space="preserve">Kerchanshe price with vat </t>
  </si>
  <si>
    <t>Competitors Price with vat</t>
  </si>
  <si>
    <t>Camel (thick)</t>
  </si>
  <si>
    <t>BP Benjamin</t>
  </si>
  <si>
    <t>Item Weight-Buna plate(g)</t>
  </si>
  <si>
    <t>Competitors Item  Weight(g)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</si>
</sst>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</font>
    <font>
      <b/>
      <sz val="11"/>
      <color theme="1"/>
      <name val="Calibri"/>
      <charset val="134"/>
    </font>
    <font>
      <b/>
      <sz val="12"/>
      <color theme="1"/>
      <name val="Times New Roman"/>
      <family val="1"/>
      <charset val="1"/>
    </font>
    <font>
      <sz val="12"/>
      <color theme="1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theme="9" tint="0.59987182226020086"/>
        <bgColor rgb="FFCCFFCC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vertical="center" wrapText="1"/>
    </xf>
    <xf numFmtId="9" fontId="3" fillId="0" borderId="1" xfId="0" applyNumberFormat="1" applyFont="1" applyBorder="1" applyAlignment="1">
      <alignment vertical="center" wrapText="1"/>
    </xf>
    <xf numFmtId="0" fontId="0" fillId="0" borderId="3" xfId="0" applyBorder="1"/>
    <xf numFmtId="0" fontId="0" fillId="0" borderId="1" xfId="0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tabSelected="1" topLeftCell="C1" zoomScaleNormal="100" workbookViewId="0">
      <selection activeCell="F6" sqref="F6"/>
    </sheetView>
  </sheetViews>
  <sheetFormatPr defaultColWidth="9" defaultRowHeight="14.5"/>
  <cols>
    <col min="1" max="1" width="7.26953125" style="6" customWidth="1"/>
    <col min="2" max="2" width="12.26953125" customWidth="1"/>
    <col min="3" max="3" width="31" style="6" customWidth="1"/>
    <col min="4" max="4" width="13.453125" style="6" customWidth="1"/>
    <col min="5" max="5" width="10.7265625" style="6" customWidth="1"/>
    <col min="6" max="6" width="13.7265625" customWidth="1"/>
    <col min="7" max="7" width="11.81640625" customWidth="1"/>
    <col min="8" max="8" width="10.08984375" customWidth="1"/>
    <col min="9" max="9" width="14.08984375" customWidth="1"/>
    <col min="10" max="10" width="14.26953125" hidden="1" customWidth="1"/>
    <col min="11" max="11" width="11.08984375" style="7" customWidth="1"/>
    <col min="12" max="12" width="13.7265625" style="7" customWidth="1"/>
  </cols>
  <sheetData>
    <row r="1" spans="1:12" ht="45" customHeight="1">
      <c r="A1" s="8" t="s">
        <v>0</v>
      </c>
      <c r="B1" s="9" t="s">
        <v>1</v>
      </c>
      <c r="C1" s="9" t="s">
        <v>37</v>
      </c>
      <c r="D1" s="9" t="s">
        <v>38</v>
      </c>
      <c r="E1" s="9" t="s">
        <v>39</v>
      </c>
      <c r="F1" s="9" t="s">
        <v>2</v>
      </c>
      <c r="G1" s="9" t="s">
        <v>40</v>
      </c>
      <c r="H1" s="9" t="s">
        <v>3</v>
      </c>
      <c r="I1" s="9" t="s">
        <v>4</v>
      </c>
      <c r="J1" s="10" t="s">
        <v>5</v>
      </c>
      <c r="K1" s="9" t="s">
        <v>43</v>
      </c>
      <c r="L1" s="9" t="s">
        <v>44</v>
      </c>
    </row>
    <row r="2" spans="1:12" ht="15.75" customHeight="1">
      <c r="A2" s="5">
        <v>1</v>
      </c>
      <c r="B2" s="4" t="s">
        <v>6</v>
      </c>
      <c r="C2" s="4" t="s">
        <v>7</v>
      </c>
      <c r="D2" s="4">
        <v>21105</v>
      </c>
      <c r="E2" s="4">
        <v>266.14999999999998</v>
      </c>
      <c r="F2" s="12" t="s">
        <v>8</v>
      </c>
      <c r="G2" s="12">
        <v>190</v>
      </c>
      <c r="H2" s="12">
        <f>E2-G2</f>
        <v>76.149999999999977</v>
      </c>
      <c r="I2" s="13">
        <f>+H2/G2*100%</f>
        <v>0.40078947368421042</v>
      </c>
      <c r="J2" s="14"/>
      <c r="K2" s="3">
        <v>345</v>
      </c>
      <c r="L2" s="7">
        <v>305</v>
      </c>
    </row>
    <row r="3" spans="1:12" ht="15.75" customHeight="1">
      <c r="A3" s="5"/>
      <c r="B3" s="5"/>
      <c r="C3" s="5"/>
      <c r="D3" s="5"/>
      <c r="E3" s="5"/>
      <c r="F3" s="16" t="s">
        <v>41</v>
      </c>
      <c r="G3" s="16">
        <v>165</v>
      </c>
      <c r="H3" s="16">
        <f>E2-G3</f>
        <v>101.14999999999998</v>
      </c>
      <c r="I3" s="13">
        <f>+H3/G3*100%</f>
        <v>0.61303030303030293</v>
      </c>
      <c r="J3" s="14"/>
      <c r="K3" s="3"/>
      <c r="L3" s="7">
        <v>350</v>
      </c>
    </row>
    <row r="4" spans="1:12" ht="15.75" customHeight="1">
      <c r="A4" s="5"/>
      <c r="B4" s="5"/>
      <c r="C4" s="5"/>
      <c r="D4" s="5"/>
      <c r="E4" s="5"/>
      <c r="F4" s="16" t="s">
        <v>9</v>
      </c>
      <c r="G4" s="16">
        <v>170</v>
      </c>
      <c r="H4" s="16">
        <f>E2-G4</f>
        <v>96.149999999999977</v>
      </c>
      <c r="I4" s="13">
        <f>+H4/G4*100%</f>
        <v>0.5655882352941175</v>
      </c>
      <c r="J4" s="14"/>
      <c r="K4" s="3"/>
      <c r="L4" s="7">
        <v>340</v>
      </c>
    </row>
    <row r="5" spans="1:12" ht="15.75" customHeight="1">
      <c r="A5" s="5"/>
      <c r="B5" s="5"/>
      <c r="C5" s="5"/>
      <c r="D5" s="5"/>
      <c r="E5" s="5"/>
      <c r="F5" s="16" t="s">
        <v>10</v>
      </c>
      <c r="G5" s="16">
        <v>110</v>
      </c>
      <c r="H5" s="16">
        <f>E2-G5</f>
        <v>156.14999999999998</v>
      </c>
      <c r="I5" s="13">
        <f>+H5/G5*100%</f>
        <v>1.4195454545454544</v>
      </c>
      <c r="J5" s="14"/>
      <c r="K5" s="3"/>
      <c r="L5" s="7">
        <v>310</v>
      </c>
    </row>
    <row r="6" spans="1:12" ht="15.75" customHeight="1">
      <c r="A6" s="5"/>
      <c r="B6" s="5"/>
      <c r="C6" s="5"/>
      <c r="D6" s="5"/>
      <c r="E6" s="5"/>
      <c r="F6" s="16" t="s">
        <v>11</v>
      </c>
      <c r="G6" s="16">
        <v>170</v>
      </c>
      <c r="H6" s="16">
        <f>E2-G6</f>
        <v>96.149999999999977</v>
      </c>
      <c r="I6" s="13">
        <f>+H6/G6*100%</f>
        <v>0.5655882352941175</v>
      </c>
      <c r="J6" s="14"/>
      <c r="K6" s="3"/>
      <c r="L6" s="7">
        <v>340</v>
      </c>
    </row>
    <row r="7" spans="1:12" ht="15.75" customHeight="1">
      <c r="A7" s="5"/>
      <c r="B7" s="5"/>
      <c r="C7" s="5"/>
      <c r="D7" s="5"/>
      <c r="E7" s="5"/>
      <c r="F7" s="16" t="s">
        <v>12</v>
      </c>
      <c r="G7" s="16">
        <v>170</v>
      </c>
      <c r="H7" s="16">
        <f>E2-G7</f>
        <v>96.149999999999977</v>
      </c>
      <c r="I7" s="13">
        <f>H7/G7</f>
        <v>0.5655882352941175</v>
      </c>
      <c r="J7" s="14"/>
      <c r="K7" s="3"/>
      <c r="L7" s="7">
        <v>315</v>
      </c>
    </row>
    <row r="8" spans="1:12" ht="15.75" customHeight="1">
      <c r="A8" s="5"/>
      <c r="B8" s="5"/>
      <c r="C8" s="5"/>
      <c r="D8" s="5"/>
      <c r="E8" s="5"/>
      <c r="F8" s="16" t="s">
        <v>13</v>
      </c>
      <c r="G8" s="16">
        <v>150</v>
      </c>
      <c r="H8" s="16">
        <f>E2-G8</f>
        <v>116.14999999999998</v>
      </c>
      <c r="I8" s="13">
        <f t="shared" ref="I8:I29" si="0">+H8/G8*100%</f>
        <v>0.77433333333333321</v>
      </c>
      <c r="J8" s="14"/>
      <c r="K8" s="3"/>
      <c r="L8" s="7">
        <v>307</v>
      </c>
    </row>
    <row r="9" spans="1:12" ht="15.75" customHeight="1">
      <c r="A9" s="5"/>
      <c r="B9" s="5"/>
      <c r="C9" s="5"/>
      <c r="D9" s="5"/>
      <c r="E9" s="5"/>
      <c r="F9" s="16" t="s">
        <v>14</v>
      </c>
      <c r="G9" s="16">
        <v>160</v>
      </c>
      <c r="H9" s="16">
        <f>E2-G9</f>
        <v>106.14999999999998</v>
      </c>
      <c r="I9" s="13">
        <f t="shared" si="0"/>
        <v>0.6634374999999999</v>
      </c>
      <c r="J9" s="14"/>
      <c r="K9" s="3"/>
      <c r="L9" s="7">
        <v>345</v>
      </c>
    </row>
    <row r="10" spans="1:12" ht="15.75" customHeight="1">
      <c r="A10" s="5"/>
      <c r="B10" s="5"/>
      <c r="C10" s="5"/>
      <c r="D10" s="5"/>
      <c r="E10" s="5"/>
      <c r="F10" s="16" t="s">
        <v>42</v>
      </c>
      <c r="G10" s="16">
        <v>160</v>
      </c>
      <c r="H10" s="16">
        <f>E2-G10</f>
        <v>106.14999999999998</v>
      </c>
      <c r="I10" s="13">
        <f t="shared" si="0"/>
        <v>0.6634374999999999</v>
      </c>
      <c r="J10" s="14"/>
      <c r="K10" s="3"/>
      <c r="L10" s="7">
        <v>340</v>
      </c>
    </row>
    <row r="11" spans="1:12" ht="15.75" customHeight="1">
      <c r="A11" s="5"/>
      <c r="B11" s="5"/>
      <c r="C11" s="5"/>
      <c r="D11" s="5"/>
      <c r="E11" s="5"/>
      <c r="F11" s="16" t="s">
        <v>15</v>
      </c>
      <c r="G11" s="16">
        <v>140</v>
      </c>
      <c r="H11" s="16">
        <f>E2-G11</f>
        <v>126.14999999999998</v>
      </c>
      <c r="I11" s="13">
        <f t="shared" si="0"/>
        <v>0.90107142857142841</v>
      </c>
      <c r="J11" s="14"/>
      <c r="K11" s="3"/>
      <c r="L11" s="7">
        <v>307</v>
      </c>
    </row>
    <row r="12" spans="1:12" ht="15.75" customHeight="1">
      <c r="A12" s="5"/>
      <c r="B12" s="4"/>
      <c r="C12" s="4"/>
      <c r="D12" s="4"/>
      <c r="E12" s="4"/>
      <c r="F12" s="16" t="s">
        <v>16</v>
      </c>
      <c r="G12" s="16">
        <v>140</v>
      </c>
      <c r="H12" s="16">
        <f>E2-G12</f>
        <v>126.14999999999998</v>
      </c>
      <c r="I12" s="13">
        <f t="shared" si="0"/>
        <v>0.90107142857142841</v>
      </c>
      <c r="J12" s="14"/>
      <c r="K12" s="3"/>
      <c r="L12" s="7">
        <v>305</v>
      </c>
    </row>
    <row r="13" spans="1:12" s="20" customFormat="1" ht="15.75" customHeight="1">
      <c r="A13" s="5">
        <v>2</v>
      </c>
      <c r="B13" s="4"/>
      <c r="C13" s="2" t="s">
        <v>17</v>
      </c>
      <c r="D13" s="2" t="s">
        <v>18</v>
      </c>
      <c r="E13" s="2">
        <v>128.69999999999999</v>
      </c>
      <c r="F13" s="17" t="s">
        <v>11</v>
      </c>
      <c r="G13" s="17">
        <v>95</v>
      </c>
      <c r="H13" s="17">
        <f>E13-G13</f>
        <v>33.699999999999989</v>
      </c>
      <c r="I13" s="13">
        <f t="shared" si="0"/>
        <v>0.35473684210526302</v>
      </c>
      <c r="J13" s="18"/>
      <c r="K13" s="5">
        <v>107</v>
      </c>
      <c r="L13" s="19">
        <v>100</v>
      </c>
    </row>
    <row r="14" spans="1:12" s="20" customFormat="1" ht="15.75" customHeight="1">
      <c r="A14" s="5"/>
      <c r="B14" s="4"/>
      <c r="C14" s="2"/>
      <c r="D14" s="2"/>
      <c r="E14" s="2"/>
      <c r="F14" s="17" t="s">
        <v>19</v>
      </c>
      <c r="G14" s="17">
        <v>50</v>
      </c>
      <c r="H14" s="17">
        <f>E13-G14</f>
        <v>78.699999999999989</v>
      </c>
      <c r="I14" s="13">
        <f t="shared" si="0"/>
        <v>1.5739999999999998</v>
      </c>
      <c r="J14" s="18"/>
      <c r="K14" s="5"/>
      <c r="L14" s="19">
        <v>104</v>
      </c>
    </row>
    <row r="15" spans="1:12" s="20" customFormat="1" ht="15" customHeight="1">
      <c r="A15" s="5">
        <v>3</v>
      </c>
      <c r="B15" s="4"/>
      <c r="C15" s="4" t="s">
        <v>20</v>
      </c>
      <c r="D15" s="2" t="s">
        <v>21</v>
      </c>
      <c r="E15" s="2">
        <v>398.74</v>
      </c>
      <c r="F15" s="17" t="s">
        <v>22</v>
      </c>
      <c r="G15" s="17">
        <v>220</v>
      </c>
      <c r="H15" s="17">
        <f>E15-G15</f>
        <v>178.74</v>
      </c>
      <c r="I15" s="13">
        <f t="shared" si="0"/>
        <v>0.81245454545454554</v>
      </c>
      <c r="J15" s="18"/>
      <c r="K15" s="5">
        <v>511</v>
      </c>
      <c r="L15" s="19">
        <v>478</v>
      </c>
    </row>
    <row r="16" spans="1:12" s="20" customFormat="1" ht="15.75" customHeight="1">
      <c r="A16" s="5"/>
      <c r="B16" s="4"/>
      <c r="C16" s="4"/>
      <c r="D16" s="4"/>
      <c r="E16" s="4"/>
      <c r="F16" s="17" t="s">
        <v>15</v>
      </c>
      <c r="G16" s="17">
        <v>200</v>
      </c>
      <c r="H16" s="17">
        <f>E15-G16</f>
        <v>198.74</v>
      </c>
      <c r="I16" s="13">
        <f t="shared" si="0"/>
        <v>0.99370000000000003</v>
      </c>
      <c r="J16" s="18"/>
      <c r="K16" s="5"/>
      <c r="L16" s="19">
        <v>545</v>
      </c>
    </row>
    <row r="17" spans="1:12" s="20" customFormat="1" ht="15.75" customHeight="1">
      <c r="A17" s="5">
        <v>4</v>
      </c>
      <c r="B17" s="4"/>
      <c r="C17" s="2" t="s">
        <v>23</v>
      </c>
      <c r="D17" s="2" t="s">
        <v>24</v>
      </c>
      <c r="E17" s="2">
        <v>563.9</v>
      </c>
      <c r="F17" s="17" t="s">
        <v>25</v>
      </c>
      <c r="G17" s="17">
        <v>650</v>
      </c>
      <c r="H17" s="17">
        <f>E17-G17</f>
        <v>-86.100000000000023</v>
      </c>
      <c r="I17" s="13">
        <f t="shared" si="0"/>
        <v>-0.13246153846153849</v>
      </c>
      <c r="J17" s="18"/>
      <c r="K17" s="5">
        <v>815</v>
      </c>
      <c r="L17" s="19">
        <v>820</v>
      </c>
    </row>
    <row r="18" spans="1:12" s="20" customFormat="1" ht="15.75" customHeight="1">
      <c r="A18" s="5"/>
      <c r="B18" s="4"/>
      <c r="C18" s="2"/>
      <c r="D18" s="2"/>
      <c r="E18" s="2"/>
      <c r="F18" s="17" t="s">
        <v>26</v>
      </c>
      <c r="G18" s="17">
        <v>490</v>
      </c>
      <c r="H18" s="17">
        <f>E17-G18</f>
        <v>73.899999999999977</v>
      </c>
      <c r="I18" s="13">
        <f t="shared" si="0"/>
        <v>0.15081632653061219</v>
      </c>
      <c r="J18" s="18"/>
      <c r="K18" s="5"/>
      <c r="L18" s="19">
        <v>790</v>
      </c>
    </row>
    <row r="19" spans="1:12" ht="15.75" customHeight="1">
      <c r="A19" s="11">
        <v>5</v>
      </c>
      <c r="B19" s="4"/>
      <c r="C19" s="21" t="s">
        <v>17</v>
      </c>
      <c r="D19" s="21" t="s">
        <v>27</v>
      </c>
      <c r="E19" s="21">
        <v>72.53</v>
      </c>
      <c r="F19" s="16" t="s">
        <v>15</v>
      </c>
      <c r="G19" s="16">
        <v>50</v>
      </c>
      <c r="H19" s="16">
        <f>E19-G19</f>
        <v>22.53</v>
      </c>
      <c r="I19" s="13">
        <f t="shared" si="0"/>
        <v>0.4506</v>
      </c>
      <c r="J19" s="14"/>
      <c r="K19" s="7">
        <v>102</v>
      </c>
      <c r="L19" s="7">
        <v>100</v>
      </c>
    </row>
    <row r="20" spans="1:12" ht="15.75" customHeight="1">
      <c r="A20" s="11">
        <v>6</v>
      </c>
      <c r="B20" s="4"/>
      <c r="C20" s="21" t="s">
        <v>28</v>
      </c>
      <c r="D20" s="21" t="s">
        <v>29</v>
      </c>
      <c r="E20" s="21">
        <v>117.22</v>
      </c>
      <c r="F20" s="16" t="s">
        <v>11</v>
      </c>
      <c r="G20" s="16">
        <v>100</v>
      </c>
      <c r="H20" s="16">
        <f>E20-G20</f>
        <v>17.22</v>
      </c>
      <c r="I20" s="13">
        <f t="shared" si="0"/>
        <v>0.17219999999999999</v>
      </c>
      <c r="J20" s="14"/>
      <c r="K20" s="7">
        <v>153</v>
      </c>
      <c r="L20" s="7">
        <v>150</v>
      </c>
    </row>
    <row r="21" spans="1:12" ht="15" hidden="1" customHeight="1">
      <c r="A21" s="11">
        <v>14</v>
      </c>
      <c r="B21" s="4"/>
      <c r="C21" s="21"/>
      <c r="D21" s="21"/>
      <c r="E21" s="21"/>
      <c r="F21" s="16" t="s">
        <v>11</v>
      </c>
      <c r="G21" s="16"/>
      <c r="H21" s="16"/>
      <c r="I21" s="13" t="e">
        <f t="shared" si="0"/>
        <v>#DIV/0!</v>
      </c>
    </row>
    <row r="22" spans="1:12" ht="15" hidden="1" customHeight="1">
      <c r="A22" s="11">
        <v>15</v>
      </c>
      <c r="B22" s="4"/>
      <c r="C22" s="21"/>
      <c r="D22" s="21"/>
      <c r="E22" s="21"/>
      <c r="F22" s="16" t="s">
        <v>11</v>
      </c>
      <c r="G22" s="16"/>
      <c r="H22" s="16"/>
      <c r="I22" s="13" t="e">
        <f t="shared" si="0"/>
        <v>#DIV/0!</v>
      </c>
    </row>
    <row r="23" spans="1:12" ht="15" hidden="1" customHeight="1">
      <c r="A23" s="11">
        <v>16</v>
      </c>
      <c r="B23" s="4"/>
      <c r="C23" s="21"/>
      <c r="D23" s="21"/>
      <c r="E23" s="21"/>
      <c r="F23" s="16" t="s">
        <v>11</v>
      </c>
      <c r="G23" s="16"/>
      <c r="H23" s="16"/>
      <c r="I23" s="13" t="e">
        <f t="shared" si="0"/>
        <v>#DIV/0!</v>
      </c>
    </row>
    <row r="24" spans="1:12" ht="15" hidden="1" customHeight="1">
      <c r="A24" s="11">
        <v>17</v>
      </c>
      <c r="B24" s="4"/>
      <c r="C24" s="21"/>
      <c r="D24" s="21"/>
      <c r="E24" s="21"/>
      <c r="F24" s="16" t="s">
        <v>11</v>
      </c>
      <c r="G24" s="16"/>
      <c r="H24" s="16"/>
      <c r="I24" s="13" t="e">
        <f t="shared" si="0"/>
        <v>#DIV/0!</v>
      </c>
    </row>
    <row r="25" spans="1:12" ht="15" hidden="1" customHeight="1">
      <c r="A25" s="11">
        <v>18</v>
      </c>
      <c r="B25" s="4"/>
      <c r="C25" s="21"/>
      <c r="D25" s="21"/>
      <c r="E25" s="21"/>
      <c r="F25" s="16" t="s">
        <v>11</v>
      </c>
      <c r="G25" s="16"/>
      <c r="H25" s="16"/>
      <c r="I25" s="13" t="e">
        <f t="shared" si="0"/>
        <v>#DIV/0!</v>
      </c>
    </row>
    <row r="26" spans="1:12" ht="15" hidden="1" customHeight="1">
      <c r="A26" s="11">
        <v>19</v>
      </c>
      <c r="B26" s="4"/>
      <c r="C26" s="21"/>
      <c r="D26" s="21"/>
      <c r="E26" s="21"/>
      <c r="F26" s="16" t="s">
        <v>11</v>
      </c>
      <c r="G26" s="16"/>
      <c r="H26" s="16"/>
      <c r="I26" s="13" t="e">
        <f t="shared" si="0"/>
        <v>#DIV/0!</v>
      </c>
    </row>
    <row r="27" spans="1:12" ht="15" hidden="1" customHeight="1">
      <c r="A27" s="11">
        <v>20</v>
      </c>
      <c r="B27" s="4"/>
      <c r="C27" s="21"/>
      <c r="D27" s="21"/>
      <c r="E27" s="21"/>
      <c r="F27" s="16" t="s">
        <v>11</v>
      </c>
      <c r="G27" s="16"/>
      <c r="H27" s="16"/>
      <c r="I27" s="13" t="e">
        <f t="shared" si="0"/>
        <v>#DIV/0!</v>
      </c>
    </row>
    <row r="28" spans="1:12" ht="15.75" customHeight="1">
      <c r="A28" s="11">
        <v>7</v>
      </c>
      <c r="B28" s="4"/>
      <c r="C28" s="21" t="s">
        <v>30</v>
      </c>
      <c r="D28" s="21" t="s">
        <v>31</v>
      </c>
      <c r="E28" s="22">
        <v>211.27</v>
      </c>
      <c r="F28" s="16" t="s">
        <v>11</v>
      </c>
      <c r="G28" s="16">
        <v>125</v>
      </c>
      <c r="H28" s="23">
        <f>+E28-G28</f>
        <v>86.27000000000001</v>
      </c>
      <c r="I28" s="13">
        <f t="shared" si="0"/>
        <v>0.69016000000000011</v>
      </c>
      <c r="K28" s="7">
        <v>295</v>
      </c>
      <c r="L28" s="7">
        <v>275</v>
      </c>
    </row>
    <row r="29" spans="1:12" ht="15.75" customHeight="1">
      <c r="A29" s="15">
        <v>8</v>
      </c>
      <c r="B29" s="4"/>
      <c r="C29" s="21" t="s">
        <v>17</v>
      </c>
      <c r="D29" s="21" t="s">
        <v>32</v>
      </c>
      <c r="E29" s="21">
        <v>282.79000000000002</v>
      </c>
      <c r="F29" s="16" t="s">
        <v>11</v>
      </c>
      <c r="G29" s="16">
        <v>105</v>
      </c>
      <c r="H29" s="16">
        <f>+E29-G29</f>
        <v>177.79000000000002</v>
      </c>
      <c r="I29" s="13">
        <f t="shared" si="0"/>
        <v>1.6932380952380954</v>
      </c>
      <c r="K29" s="7">
        <v>461</v>
      </c>
      <c r="L29" s="7">
        <v>450</v>
      </c>
    </row>
    <row r="30" spans="1:12" ht="15.75" customHeight="1">
      <c r="A30" s="15"/>
      <c r="B30" s="4"/>
      <c r="C30" s="1" t="s">
        <v>33</v>
      </c>
      <c r="D30" s="1" t="s">
        <v>34</v>
      </c>
      <c r="E30" s="1">
        <v>34.22</v>
      </c>
      <c r="F30" s="16" t="s">
        <v>35</v>
      </c>
      <c r="G30" s="16">
        <v>33</v>
      </c>
      <c r="H30" s="16">
        <f>E30-G30</f>
        <v>1.2199999999999989</v>
      </c>
      <c r="I30" s="13">
        <f>H30/G30</f>
        <v>3.6969696969696937E-2</v>
      </c>
      <c r="K30" s="7">
        <v>46</v>
      </c>
      <c r="L30" s="7">
        <v>45</v>
      </c>
    </row>
    <row r="31" spans="1:12" ht="15.75" customHeight="1">
      <c r="A31" s="15">
        <v>9</v>
      </c>
      <c r="B31" s="4"/>
      <c r="C31" s="1"/>
      <c r="D31" s="1"/>
      <c r="E31" s="1"/>
      <c r="F31" s="16" t="s">
        <v>11</v>
      </c>
      <c r="G31" s="16">
        <v>17</v>
      </c>
      <c r="H31" s="16">
        <f>+E30-G31</f>
        <v>17.22</v>
      </c>
      <c r="I31" s="13">
        <f>+H31/G31*100%</f>
        <v>1.0129411764705882</v>
      </c>
      <c r="K31" s="3">
        <v>227</v>
      </c>
      <c r="L31" s="7">
        <v>43</v>
      </c>
    </row>
    <row r="32" spans="1:12" ht="15.75" customHeight="1">
      <c r="A32" s="15">
        <v>10</v>
      </c>
      <c r="B32" s="4"/>
      <c r="C32" s="21" t="s">
        <v>7</v>
      </c>
      <c r="D32" s="21" t="s">
        <v>36</v>
      </c>
      <c r="E32" s="21">
        <v>162.74</v>
      </c>
      <c r="F32" s="16" t="s">
        <v>15</v>
      </c>
      <c r="G32" s="16">
        <v>70</v>
      </c>
      <c r="H32" s="16">
        <f>+E32-G32</f>
        <v>92.740000000000009</v>
      </c>
      <c r="I32" s="13">
        <f>+H32/G32*100%</f>
        <v>1.324857142857143</v>
      </c>
      <c r="K32" s="3"/>
      <c r="L32" s="7">
        <v>226</v>
      </c>
    </row>
  </sheetData>
  <mergeCells count="25">
    <mergeCell ref="K31:K32"/>
    <mergeCell ref="K15:K16"/>
    <mergeCell ref="A17:A18"/>
    <mergeCell ref="C17:C18"/>
    <mergeCell ref="D17:D18"/>
    <mergeCell ref="E17:E18"/>
    <mergeCell ref="K17:K18"/>
    <mergeCell ref="K2:K12"/>
    <mergeCell ref="A13:A14"/>
    <mergeCell ref="C13:C14"/>
    <mergeCell ref="D13:D14"/>
    <mergeCell ref="E13:E14"/>
    <mergeCell ref="K13:K14"/>
    <mergeCell ref="A2:A12"/>
    <mergeCell ref="B2:B32"/>
    <mergeCell ref="C2:C12"/>
    <mergeCell ref="D2:D12"/>
    <mergeCell ref="E2:E12"/>
    <mergeCell ref="A15:A16"/>
    <mergeCell ref="C15:C16"/>
    <mergeCell ref="D15:D16"/>
    <mergeCell ref="E15:E16"/>
    <mergeCell ref="C30:C31"/>
    <mergeCell ref="D30:D31"/>
    <mergeCell ref="E30:E31"/>
  </mergeCell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Buna plate Competitors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Alemtsay Guluma</dc:creator>
  <dc:description/>
  <cp:lastModifiedBy>Bulto Challa</cp:lastModifiedBy>
  <cp:revision>0</cp:revision>
  <dcterms:created xsi:type="dcterms:W3CDTF">2015-06-05T18:17:00Z</dcterms:created>
  <dcterms:modified xsi:type="dcterms:W3CDTF">2026-09-24T15:56:34Z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E09A1F0C81494EBBA4B0B5D1314CC3A2_13</vt:lpwstr>
  </property>
  <property fmtid="{D5CDD505-2E9C-101B-9397-08002B2CF9AE}" pid="4" name="KSOProductBuildVer">
    <vt:lpwstr>1033-12.1.0.26372</vt:lpwstr>
  </property>
</Properties>
</file>