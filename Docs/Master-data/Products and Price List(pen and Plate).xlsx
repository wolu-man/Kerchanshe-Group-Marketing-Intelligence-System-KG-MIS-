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AE5AB38-AC8A-4B18-BF39-46A076AAAD4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una Plate" sheetId="1" r:id="rId1"/>
    <sheet name="Buna Pen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</calcChain>
</file>

<file path=xl/sharedStrings.xml><?xml version="1.0" encoding="utf-8"?>
<sst xmlns="http://schemas.openxmlformats.org/spreadsheetml/2006/main" count="296" uniqueCount="58">
  <si>
    <t>Item Code</t>
  </si>
  <si>
    <t>KB62260A</t>
  </si>
  <si>
    <t>KB62260B</t>
  </si>
  <si>
    <t>BB5 1/2</t>
  </si>
  <si>
    <t>Buna Plate and its Price</t>
  </si>
  <si>
    <t>Buna Pen and Its Price</t>
  </si>
  <si>
    <t>420000</t>
  </si>
  <si>
    <t>Name</t>
  </si>
  <si>
    <t>Buna Pen</t>
  </si>
  <si>
    <t>Color</t>
  </si>
  <si>
    <t>Blue</t>
  </si>
  <si>
    <t>Black</t>
  </si>
  <si>
    <t>Red</t>
  </si>
  <si>
    <t>size</t>
  </si>
  <si>
    <t>Weight in Kg</t>
  </si>
  <si>
    <t>Size</t>
  </si>
  <si>
    <t>Key Account</t>
  </si>
  <si>
    <t>Agent/Distributor</t>
  </si>
  <si>
    <t>Wholesale/Shop</t>
  </si>
  <si>
    <t>Bid</t>
  </si>
  <si>
    <t>Prices</t>
  </si>
  <si>
    <t>Bowl</t>
  </si>
  <si>
    <t>Mug</t>
  </si>
  <si>
    <t>Plate</t>
  </si>
  <si>
    <t>Plate With Dot</t>
  </si>
  <si>
    <t>41/42 ''Bowl</t>
  </si>
  <si>
    <t>51/2'' Bowl</t>
  </si>
  <si>
    <t>Round Bowl</t>
  </si>
  <si>
    <t>7'' Round Bowl</t>
  </si>
  <si>
    <t>9'' Round Bowl</t>
  </si>
  <si>
    <t>6'' RoundMeat Plate</t>
  </si>
  <si>
    <t>8'' Round Meat Plate</t>
  </si>
  <si>
    <t>10: Round Meat Plate</t>
  </si>
  <si>
    <t>101/2'' Round Fruit Plate</t>
  </si>
  <si>
    <t>121/2 ''Round Fruit Plate</t>
  </si>
  <si>
    <t>101/2'' Round Soup Plate</t>
  </si>
  <si>
    <t>14'' Oval Plate</t>
  </si>
  <si>
    <t>16'' Oval Plate</t>
  </si>
  <si>
    <t>Coffee Cup With Handel</t>
  </si>
  <si>
    <t>Leaf Shop bowl</t>
  </si>
  <si>
    <t>Flower Small Dish</t>
  </si>
  <si>
    <t>Big Spoon</t>
  </si>
  <si>
    <t>81/2'' Round Soup Plate</t>
  </si>
  <si>
    <t>9'' Flour Soup Plate</t>
  </si>
  <si>
    <t>10'' Oval Plate</t>
  </si>
  <si>
    <t>Bowl With Baamboo knot</t>
  </si>
  <si>
    <t>plate</t>
  </si>
  <si>
    <t>Tray</t>
  </si>
  <si>
    <t>Normal</t>
  </si>
  <si>
    <t>Thick</t>
  </si>
  <si>
    <t>Thin</t>
  </si>
  <si>
    <t>Red, Yellow, Orange, White, Green, Gray, Beige, Ivory, Lime Yellow, Lime Green, Lime Green, Black</t>
  </si>
  <si>
    <t>Type</t>
  </si>
  <si>
    <t>Spoon</t>
  </si>
  <si>
    <t>Injera carrier</t>
  </si>
  <si>
    <t>Ctegory</t>
  </si>
  <si>
    <t>Product Prices</t>
  </si>
  <si>
    <t>Buna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</si>
</sst>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3" fontId="0" fillId="0" borderId="0" xfId="1" applyFont="1"/>
    <xf numFmtId="43" fontId="0" fillId="0" borderId="3" xfId="1" applyFont="1" applyBorder="1"/>
    <xf numFmtId="0" fontId="0" fillId="0" borderId="3" xfId="0" applyBorder="1"/>
    <xf numFmtId="49" fontId="6" fillId="3" borderId="3" xfId="0" applyNumberFormat="1" applyFont="1" applyFill="1" applyBorder="1" applyAlignment="1">
      <alignment horizontal="left"/>
    </xf>
    <xf numFmtId="0" fontId="0" fillId="4" borderId="0" xfId="0" applyFill="1"/>
    <xf numFmtId="0" fontId="8" fillId="4" borderId="3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1" fillId="4" borderId="0" xfId="0" applyFont="1" applyFill="1"/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43" fontId="4" fillId="0" borderId="0" xfId="1" applyFont="1" applyFill="1" applyAlignment="1">
      <alignment horizontal="left"/>
    </xf>
    <xf numFmtId="43" fontId="6" fillId="0" borderId="0" xfId="1" applyFont="1" applyFill="1" applyAlignment="1">
      <alignment horizontal="center"/>
    </xf>
    <xf numFmtId="0" fontId="13" fillId="0" borderId="3" xfId="0" applyFont="1" applyBorder="1"/>
    <xf numFmtId="43" fontId="13" fillId="0" borderId="3" xfId="0" applyNumberFormat="1" applyFont="1" applyBorder="1"/>
    <xf numFmtId="43" fontId="13" fillId="0" borderId="3" xfId="1" applyFont="1" applyFill="1" applyBorder="1"/>
    <xf numFmtId="0" fontId="13" fillId="0" borderId="5" xfId="0" applyFont="1" applyBorder="1"/>
    <xf numFmtId="43" fontId="13" fillId="0" borderId="5" xfId="0" applyNumberFormat="1" applyFont="1" applyBorder="1"/>
    <xf numFmtId="0" fontId="6" fillId="0" borderId="3" xfId="0" applyFont="1" applyBorder="1"/>
    <xf numFmtId="43" fontId="13" fillId="0" borderId="3" xfId="1" applyFont="1" applyBorder="1"/>
    <xf numFmtId="43" fontId="6" fillId="0" borderId="3" xfId="1" applyFont="1" applyBorder="1"/>
    <xf numFmtId="0" fontId="6" fillId="0" borderId="6" xfId="0" applyFont="1" applyBorder="1"/>
    <xf numFmtId="43" fontId="13" fillId="0" borderId="6" xfId="1" applyFont="1" applyBorder="1"/>
    <xf numFmtId="43" fontId="6" fillId="0" borderId="6" xfId="1" applyFont="1" applyBorder="1"/>
    <xf numFmtId="0" fontId="6" fillId="0" borderId="0" xfId="0" applyFont="1"/>
    <xf numFmtId="0" fontId="6" fillId="0" borderId="4" xfId="0" applyFont="1" applyBorder="1"/>
    <xf numFmtId="0" fontId="6" fillId="5" borderId="3" xfId="0" applyFont="1" applyFill="1" applyBorder="1"/>
    <xf numFmtId="0" fontId="3" fillId="4" borderId="5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6" fillId="0" borderId="5" xfId="0" applyFont="1" applyBorder="1"/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shomeE/Downloads/Plate%20production%20end%20August%2031,%202025%20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C&amp;FC 2"/>
      <sheetName val="plan"/>
      <sheetName val="Prod"/>
      <sheetName val="RM consumption standard"/>
      <sheetName val="RM PLATE"/>
      <sheetName val="Drep"/>
      <sheetName val="General Ledger Trial Balance"/>
      <sheetName val="FG Modjo (2)"/>
      <sheetName val="Direct&amp;FOH"/>
      <sheetName val="Summary p"/>
      <sheetName val="FG Modjo (3)"/>
      <sheetName val="summary"/>
      <sheetName val=" Cost Sheet of Buna Plate"/>
      <sheetName val="Selling price"/>
      <sheetName val="selling price 2"/>
      <sheetName val=" Cost Sheet of Buna Plate coppy"/>
      <sheetName val=" Cost Sheet of Buna Plate c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A4" t="str">
            <v>BB1/2</v>
          </cell>
        </row>
        <row r="5">
          <cell r="A5" t="str">
            <v>BM1</v>
          </cell>
        </row>
        <row r="6">
          <cell r="A6" t="str">
            <v>BM2</v>
          </cell>
        </row>
        <row r="7">
          <cell r="A7" t="str">
            <v>BP1</v>
          </cell>
        </row>
        <row r="8">
          <cell r="A8" t="str">
            <v>BP2</v>
          </cell>
        </row>
        <row r="9">
          <cell r="A9" t="str">
            <v>BP3</v>
          </cell>
        </row>
        <row r="10">
          <cell r="A10" t="str">
            <v>BP4</v>
          </cell>
        </row>
        <row r="11">
          <cell r="A11" t="str">
            <v>BP5</v>
          </cell>
        </row>
        <row r="12">
          <cell r="A12" t="str">
            <v>BP6</v>
          </cell>
        </row>
        <row r="13">
          <cell r="A13" t="str">
            <v xml:space="preserve">BP8 </v>
          </cell>
        </row>
        <row r="14">
          <cell r="A14" t="str">
            <v xml:space="preserve">BP9 </v>
          </cell>
        </row>
        <row r="15">
          <cell r="A15" t="str">
            <v>CW054</v>
          </cell>
        </row>
        <row r="16">
          <cell r="A16" t="str">
            <v>CW156</v>
          </cell>
        </row>
        <row r="17">
          <cell r="A17" t="str">
            <v>KB10045A</v>
          </cell>
        </row>
        <row r="18">
          <cell r="A18" t="str">
            <v>KB10045B</v>
          </cell>
        </row>
        <row r="19">
          <cell r="A19" t="str">
            <v>KB10055A</v>
          </cell>
        </row>
        <row r="20">
          <cell r="A20" t="str">
            <v>KB10055B</v>
          </cell>
        </row>
        <row r="21">
          <cell r="A21" t="str">
            <v>KB1009A</v>
          </cell>
        </row>
        <row r="22">
          <cell r="A22" t="str">
            <v>KB1009B</v>
          </cell>
        </row>
        <row r="23">
          <cell r="A23" t="str">
            <v>KB1010N</v>
          </cell>
        </row>
        <row r="24">
          <cell r="A24" t="str">
            <v>KB1020N</v>
          </cell>
        </row>
        <row r="25">
          <cell r="A25" t="str">
            <v>KB1107A</v>
          </cell>
        </row>
        <row r="26">
          <cell r="A26" t="str">
            <v>KB1107B</v>
          </cell>
        </row>
        <row r="27">
          <cell r="A27" t="str">
            <v>KB1109A</v>
          </cell>
        </row>
        <row r="28">
          <cell r="A28" t="str">
            <v>KB1109B</v>
          </cell>
        </row>
        <row r="29">
          <cell r="A29" t="str">
            <v>KB2006A</v>
          </cell>
        </row>
        <row r="30">
          <cell r="A30" t="str">
            <v>KB2006B</v>
          </cell>
        </row>
        <row r="31">
          <cell r="A31" t="str">
            <v>KB2008A</v>
          </cell>
        </row>
        <row r="32">
          <cell r="A32" t="str">
            <v>KB2008B</v>
          </cell>
        </row>
        <row r="33">
          <cell r="A33" t="str">
            <v>KB2010A</v>
          </cell>
        </row>
        <row r="34">
          <cell r="A34" t="str">
            <v>KB2010B</v>
          </cell>
        </row>
        <row r="35">
          <cell r="A35" t="str">
            <v>KB21105A</v>
          </cell>
        </row>
        <row r="36">
          <cell r="A36" t="str">
            <v>KB21105B</v>
          </cell>
        </row>
        <row r="37">
          <cell r="A37" t="str">
            <v>KB21125A</v>
          </cell>
        </row>
        <row r="38">
          <cell r="A38" t="str">
            <v>KB21125B</v>
          </cell>
        </row>
        <row r="39">
          <cell r="A39" t="str">
            <v>KB21135N</v>
          </cell>
        </row>
        <row r="40">
          <cell r="A40" t="str">
            <v>KB21145N</v>
          </cell>
        </row>
        <row r="41">
          <cell r="A41" t="str">
            <v>KB22105A</v>
          </cell>
        </row>
        <row r="42">
          <cell r="A42" t="str">
            <v>KB22105B</v>
          </cell>
        </row>
        <row r="43">
          <cell r="A43" t="str">
            <v>KB2414A</v>
          </cell>
        </row>
        <row r="44">
          <cell r="A44" t="str">
            <v>KB2414B</v>
          </cell>
        </row>
        <row r="45">
          <cell r="A45" t="str">
            <v>KB2416A</v>
          </cell>
        </row>
        <row r="46">
          <cell r="A46" t="str">
            <v>KB2416B</v>
          </cell>
        </row>
        <row r="47">
          <cell r="A47" t="str">
            <v>KB2418</v>
          </cell>
        </row>
        <row r="48">
          <cell r="A48" t="str">
            <v>KB2420</v>
          </cell>
        </row>
        <row r="49">
          <cell r="A49" t="str">
            <v>KB31125</v>
          </cell>
        </row>
        <row r="50">
          <cell r="A50" t="str">
            <v xml:space="preserve">KB31135 </v>
          </cell>
        </row>
        <row r="51">
          <cell r="A51" t="str">
            <v>KB51001/2</v>
          </cell>
        </row>
        <row r="52">
          <cell r="A52" t="str">
            <v>KB51005/6</v>
          </cell>
        </row>
        <row r="53">
          <cell r="A53" t="str">
            <v>KB51007</v>
          </cell>
        </row>
        <row r="54">
          <cell r="A54" t="str">
            <v>KB60253A</v>
          </cell>
        </row>
        <row r="55">
          <cell r="A55" t="str">
            <v>KB60253B</v>
          </cell>
        </row>
        <row r="56">
          <cell r="A56" t="str">
            <v>KB60263</v>
          </cell>
        </row>
        <row r="57">
          <cell r="A57" t="str">
            <v>KB61085N</v>
          </cell>
        </row>
        <row r="58">
          <cell r="A58" t="str">
            <v>KB622070</v>
          </cell>
        </row>
        <row r="59">
          <cell r="A59" t="str">
            <v>KB90270</v>
          </cell>
        </row>
        <row r="60">
          <cell r="A60" t="str">
            <v xml:space="preserve">KB90275 </v>
          </cell>
        </row>
        <row r="61">
          <cell r="A61" t="str">
            <v>KB90280</v>
          </cell>
        </row>
        <row r="62">
          <cell r="A62" t="str">
            <v>KB163</v>
          </cell>
        </row>
        <row r="63">
          <cell r="A63" t="str">
            <v>KB22085A</v>
          </cell>
        </row>
        <row r="64">
          <cell r="A64" t="str">
            <v>KB22085B</v>
          </cell>
        </row>
        <row r="65">
          <cell r="A65" t="str">
            <v>KB2309A</v>
          </cell>
        </row>
        <row r="66">
          <cell r="A66" t="str">
            <v>KB2309B</v>
          </cell>
        </row>
        <row r="67">
          <cell r="A67" t="str">
            <v>KB2410A</v>
          </cell>
        </row>
        <row r="68">
          <cell r="A68" t="str">
            <v>KB2410B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opLeftCell="A2" workbookViewId="0">
      <selection activeCell="D7" sqref="D7"/>
    </sheetView>
  </sheetViews>
  <sheetFormatPr defaultRowHeight="14.5" x14ac:dyDescent="0.35"/>
  <cols>
    <col min="1" max="1" width="13.453125" customWidth="1"/>
    <col min="2" max="4" width="30" customWidth="1"/>
    <col min="5" max="5" width="39.7265625" customWidth="1"/>
    <col min="6" max="6" width="17.7265625" customWidth="1"/>
    <col min="7" max="7" width="13.453125" customWidth="1"/>
    <col min="8" max="8" width="17.81640625" customWidth="1"/>
    <col min="9" max="9" width="16.81640625" style="1" customWidth="1"/>
    <col min="10" max="10" width="16.7265625" customWidth="1"/>
    <col min="11" max="11" width="15.453125" customWidth="1"/>
    <col min="12" max="12" width="15.26953125" customWidth="1"/>
    <col min="13" max="13" width="19" customWidth="1"/>
    <col min="14" max="14" width="30.26953125" customWidth="1"/>
    <col min="15" max="15" width="18.54296875" customWidth="1"/>
    <col min="16" max="16" width="17" customWidth="1"/>
  </cols>
  <sheetData>
    <row r="1" spans="1:10" ht="21" customHeight="1" thickBot="1" x14ac:dyDescent="0.4">
      <c r="A1" s="12" t="s">
        <v>4</v>
      </c>
      <c r="B1" s="12"/>
      <c r="C1" s="12"/>
      <c r="D1" s="12"/>
      <c r="E1" s="12"/>
      <c r="F1" s="12"/>
      <c r="G1" s="12"/>
      <c r="H1" s="13"/>
      <c r="I1" s="13"/>
      <c r="J1" s="25"/>
    </row>
    <row r="2" spans="1:10" ht="27" customHeight="1" thickBot="1" x14ac:dyDescent="0.4">
      <c r="A2" s="32" t="s">
        <v>0</v>
      </c>
      <c r="B2" s="34" t="s">
        <v>7</v>
      </c>
      <c r="C2" s="34" t="s">
        <v>55</v>
      </c>
      <c r="D2" s="28"/>
      <c r="E2" s="34" t="s">
        <v>9</v>
      </c>
      <c r="F2" s="34" t="s">
        <v>15</v>
      </c>
      <c r="G2" s="34" t="s">
        <v>14</v>
      </c>
      <c r="H2" s="36" t="s">
        <v>56</v>
      </c>
      <c r="I2" s="37"/>
      <c r="J2" s="37"/>
    </row>
    <row r="3" spans="1:10" ht="35.5" customHeight="1" x14ac:dyDescent="0.35">
      <c r="A3" s="33"/>
      <c r="B3" s="35"/>
      <c r="C3" s="35"/>
      <c r="D3" s="29" t="s">
        <v>52</v>
      </c>
      <c r="E3" s="35"/>
      <c r="F3" s="35"/>
      <c r="G3" s="35"/>
      <c r="H3" s="11" t="s">
        <v>17</v>
      </c>
      <c r="I3" s="11" t="s">
        <v>18</v>
      </c>
      <c r="J3" s="10" t="s">
        <v>16</v>
      </c>
    </row>
    <row r="4" spans="1:10" ht="28.5" customHeight="1" x14ac:dyDescent="0.35">
      <c r="A4" s="14" t="str">
        <f>+[1]summary!A4</f>
        <v>BB1/2</v>
      </c>
      <c r="B4" s="14" t="s">
        <v>21</v>
      </c>
      <c r="C4" s="14" t="s">
        <v>57</v>
      </c>
      <c r="D4" s="14"/>
      <c r="E4" s="30" t="s">
        <v>51</v>
      </c>
      <c r="F4" s="14" t="s">
        <v>48</v>
      </c>
      <c r="G4" s="26">
        <v>314</v>
      </c>
      <c r="H4" s="15">
        <v>193.85680729652617</v>
      </c>
      <c r="I4" s="21">
        <v>207.42678380728299</v>
      </c>
      <c r="J4" s="16">
        <v>217.1196241721087</v>
      </c>
    </row>
    <row r="5" spans="1:10" ht="15" customHeight="1" x14ac:dyDescent="0.35">
      <c r="A5" s="14" t="str">
        <f>+[1]summary!A5</f>
        <v>BM1</v>
      </c>
      <c r="B5" s="14" t="s">
        <v>22</v>
      </c>
      <c r="C5" s="14" t="s">
        <v>57</v>
      </c>
      <c r="D5" s="14"/>
      <c r="E5" s="30" t="s">
        <v>51</v>
      </c>
      <c r="F5" s="14" t="s">
        <v>48</v>
      </c>
      <c r="G5" s="19">
        <v>156</v>
      </c>
      <c r="H5" s="15">
        <v>109.55</v>
      </c>
      <c r="I5" s="21">
        <v>117.21849999999999</v>
      </c>
      <c r="J5" s="16">
        <v>122.696</v>
      </c>
    </row>
    <row r="6" spans="1:10" ht="43.5" x14ac:dyDescent="0.35">
      <c r="A6" s="14" t="str">
        <f>+[1]summary!A6</f>
        <v>BM2</v>
      </c>
      <c r="B6" s="14" t="s">
        <v>22</v>
      </c>
      <c r="C6" s="14" t="s">
        <v>57</v>
      </c>
      <c r="D6" s="14"/>
      <c r="E6" s="30" t="s">
        <v>51</v>
      </c>
      <c r="F6" s="14" t="s">
        <v>48</v>
      </c>
      <c r="G6" s="19">
        <v>208</v>
      </c>
      <c r="H6" s="15">
        <v>141.46</v>
      </c>
      <c r="I6" s="21">
        <v>151.3622</v>
      </c>
      <c r="J6" s="16">
        <v>158.43520000000001</v>
      </c>
    </row>
    <row r="7" spans="1:10" ht="43.5" x14ac:dyDescent="0.35">
      <c r="A7" s="14" t="str">
        <f>+[1]summary!A7</f>
        <v>BP1</v>
      </c>
      <c r="B7" s="14" t="s">
        <v>23</v>
      </c>
      <c r="C7" s="14" t="s">
        <v>57</v>
      </c>
      <c r="D7" s="14"/>
      <c r="E7" s="30" t="s">
        <v>51</v>
      </c>
      <c r="F7" s="14" t="s">
        <v>48</v>
      </c>
      <c r="G7" s="19">
        <v>240</v>
      </c>
      <c r="H7" s="15">
        <v>152.0934436667275</v>
      </c>
      <c r="I7" s="21">
        <v>162.73998472339801</v>
      </c>
      <c r="J7" s="16">
        <v>170.3446569067348</v>
      </c>
    </row>
    <row r="8" spans="1:10" ht="43.5" x14ac:dyDescent="0.35">
      <c r="A8" s="14" t="str">
        <f>+[1]summary!A8</f>
        <v>BP2</v>
      </c>
      <c r="B8" s="14" t="s">
        <v>23</v>
      </c>
      <c r="C8" s="14" t="s">
        <v>57</v>
      </c>
      <c r="D8" s="14"/>
      <c r="E8" s="30" t="s">
        <v>51</v>
      </c>
      <c r="F8" s="14" t="s">
        <v>48</v>
      </c>
      <c r="G8" s="19">
        <v>228</v>
      </c>
      <c r="H8" s="15">
        <v>152.0934436667275</v>
      </c>
      <c r="I8" s="21">
        <v>162.73998472339844</v>
      </c>
      <c r="J8" s="16">
        <v>170.3446569067348</v>
      </c>
    </row>
    <row r="9" spans="1:10" ht="43.5" x14ac:dyDescent="0.35">
      <c r="A9" s="14" t="str">
        <f>+[1]summary!A9</f>
        <v>BP3</v>
      </c>
      <c r="B9" s="14" t="s">
        <v>23</v>
      </c>
      <c r="C9" s="14" t="s">
        <v>57</v>
      </c>
      <c r="D9" s="14"/>
      <c r="E9" s="30" t="s">
        <v>51</v>
      </c>
      <c r="F9" s="14" t="s">
        <v>48</v>
      </c>
      <c r="G9" s="19">
        <v>238</v>
      </c>
      <c r="H9" s="15">
        <v>152.09344366672752</v>
      </c>
      <c r="I9" s="21">
        <v>162.73998472339846</v>
      </c>
      <c r="J9" s="16">
        <v>170.34465690673485</v>
      </c>
    </row>
    <row r="10" spans="1:10" ht="43.5" x14ac:dyDescent="0.35">
      <c r="A10" s="14" t="str">
        <f>+[1]summary!A10</f>
        <v>BP4</v>
      </c>
      <c r="B10" s="14" t="s">
        <v>23</v>
      </c>
      <c r="C10" s="14" t="s">
        <v>57</v>
      </c>
      <c r="D10" s="14"/>
      <c r="E10" s="30" t="s">
        <v>51</v>
      </c>
      <c r="F10" s="14" t="s">
        <v>48</v>
      </c>
      <c r="G10" s="19">
        <v>234</v>
      </c>
      <c r="H10" s="15">
        <v>152.09344366672752</v>
      </c>
      <c r="I10" s="21">
        <v>162.73998472339846</v>
      </c>
      <c r="J10" s="16">
        <v>170.34465690673485</v>
      </c>
    </row>
    <row r="11" spans="1:10" ht="43.5" x14ac:dyDescent="0.35">
      <c r="A11" s="14" t="str">
        <f>+[1]summary!A11</f>
        <v>BP5</v>
      </c>
      <c r="B11" s="14" t="s">
        <v>23</v>
      </c>
      <c r="C11" s="14" t="s">
        <v>57</v>
      </c>
      <c r="D11" s="14"/>
      <c r="E11" s="30" t="s">
        <v>51</v>
      </c>
      <c r="F11" s="14" t="s">
        <v>48</v>
      </c>
      <c r="G11" s="19">
        <v>522</v>
      </c>
      <c r="H11" s="15">
        <v>357.92</v>
      </c>
      <c r="I11" s="21">
        <v>398.74374567158037</v>
      </c>
      <c r="J11" s="16">
        <v>417.3766309833365</v>
      </c>
    </row>
    <row r="12" spans="1:10" ht="43.5" x14ac:dyDescent="0.35">
      <c r="A12" s="14" t="str">
        <f>+[1]summary!A12</f>
        <v>BP6</v>
      </c>
      <c r="B12" s="14" t="s">
        <v>46</v>
      </c>
      <c r="C12" s="14" t="s">
        <v>57</v>
      </c>
      <c r="D12" s="14"/>
      <c r="E12" s="30" t="s">
        <v>51</v>
      </c>
      <c r="F12" s="14" t="s">
        <v>48</v>
      </c>
      <c r="G12" s="19">
        <v>338</v>
      </c>
      <c r="H12" s="15">
        <v>260.04000000000002</v>
      </c>
      <c r="I12" s="21">
        <v>278.24280000000005</v>
      </c>
      <c r="J12" s="16">
        <v>291.2448</v>
      </c>
    </row>
    <row r="13" spans="1:10" ht="43.5" x14ac:dyDescent="0.35">
      <c r="A13" s="14" t="str">
        <f>+[1]summary!A13</f>
        <v xml:space="preserve">BP8 </v>
      </c>
      <c r="B13" s="14" t="s">
        <v>46</v>
      </c>
      <c r="C13" s="14" t="s">
        <v>57</v>
      </c>
      <c r="D13" s="14"/>
      <c r="E13" s="30" t="s">
        <v>51</v>
      </c>
      <c r="F13" s="14" t="s">
        <v>48</v>
      </c>
      <c r="G13" s="19">
        <v>310</v>
      </c>
      <c r="H13" s="15">
        <v>276.29000000000002</v>
      </c>
      <c r="I13" s="21">
        <v>295.63030000000003</v>
      </c>
      <c r="J13" s="16">
        <v>309.44480000000004</v>
      </c>
    </row>
    <row r="14" spans="1:10" ht="43.5" x14ac:dyDescent="0.35">
      <c r="A14" s="14" t="str">
        <f>+[1]summary!A14</f>
        <v xml:space="preserve">BP9 </v>
      </c>
      <c r="B14" s="14" t="s">
        <v>46</v>
      </c>
      <c r="C14" s="14" t="s">
        <v>57</v>
      </c>
      <c r="D14" s="14"/>
      <c r="E14" s="30" t="s">
        <v>51</v>
      </c>
      <c r="F14" s="14" t="s">
        <v>48</v>
      </c>
      <c r="G14" s="19">
        <v>362</v>
      </c>
      <c r="H14" s="15">
        <v>276.29000000000002</v>
      </c>
      <c r="I14" s="21">
        <v>295.63030000000003</v>
      </c>
      <c r="J14" s="16">
        <v>309.44480000000004</v>
      </c>
    </row>
    <row r="15" spans="1:10" ht="43.5" x14ac:dyDescent="0.35">
      <c r="A15" s="14" t="str">
        <f>+[1]summary!A15</f>
        <v>CW054</v>
      </c>
      <c r="B15" s="14" t="s">
        <v>21</v>
      </c>
      <c r="C15" s="14" t="s">
        <v>57</v>
      </c>
      <c r="D15" s="14"/>
      <c r="E15" s="30" t="s">
        <v>51</v>
      </c>
      <c r="F15" s="14" t="s">
        <v>48</v>
      </c>
      <c r="G15" s="19">
        <v>120</v>
      </c>
      <c r="H15" s="15">
        <v>67.320048836092539</v>
      </c>
      <c r="I15" s="21">
        <v>72.032452254619017</v>
      </c>
      <c r="J15" s="16">
        <v>75.398454696423656</v>
      </c>
    </row>
    <row r="16" spans="1:10" ht="43.5" x14ac:dyDescent="0.35">
      <c r="A16" s="14" t="str">
        <f>+[1]summary!A16</f>
        <v>CW156</v>
      </c>
      <c r="B16" s="14" t="s">
        <v>24</v>
      </c>
      <c r="C16" s="14" t="s">
        <v>57</v>
      </c>
      <c r="D16" s="14"/>
      <c r="E16" s="30" t="s">
        <v>51</v>
      </c>
      <c r="F16" s="14" t="s">
        <v>48</v>
      </c>
      <c r="G16" s="19">
        <v>124</v>
      </c>
      <c r="H16" s="15">
        <v>72.930052905766914</v>
      </c>
      <c r="I16" s="21">
        <v>78.035156609170599</v>
      </c>
      <c r="J16" s="16">
        <v>81.681659254458935</v>
      </c>
    </row>
    <row r="17" spans="1:10" ht="43.5" x14ac:dyDescent="0.35">
      <c r="A17" s="14" t="str">
        <f>+[1]summary!A17</f>
        <v>KB10045A</v>
      </c>
      <c r="B17" s="14" t="s">
        <v>25</v>
      </c>
      <c r="C17" s="14" t="s">
        <v>57</v>
      </c>
      <c r="D17" s="14"/>
      <c r="E17" s="30" t="s">
        <v>51</v>
      </c>
      <c r="F17" s="14" t="s">
        <v>49</v>
      </c>
      <c r="G17" s="19">
        <v>132</v>
      </c>
      <c r="H17" s="15">
        <v>76.670055618883154</v>
      </c>
      <c r="I17" s="21">
        <v>82.036959512204987</v>
      </c>
      <c r="J17" s="16">
        <v>85.870462293149146</v>
      </c>
    </row>
    <row r="18" spans="1:10" ht="43.5" x14ac:dyDescent="0.35">
      <c r="A18" s="14" t="str">
        <f>+[1]summary!A18</f>
        <v>KB10045B</v>
      </c>
      <c r="B18" s="14" t="s">
        <v>25</v>
      </c>
      <c r="C18" s="14" t="s">
        <v>57</v>
      </c>
      <c r="D18" s="14"/>
      <c r="E18" s="30" t="s">
        <v>51</v>
      </c>
      <c r="F18" s="14" t="s">
        <v>50</v>
      </c>
      <c r="G18" s="19">
        <v>76</v>
      </c>
      <c r="H18" s="15">
        <v>52.839525510950104</v>
      </c>
      <c r="I18" s="21">
        <v>56.538292296716619</v>
      </c>
      <c r="J18" s="16">
        <v>59.180268572264126</v>
      </c>
    </row>
    <row r="19" spans="1:10" ht="43.5" x14ac:dyDescent="0.35">
      <c r="A19" s="14" t="str">
        <f>+[1]summary!A19</f>
        <v>KB10055A</v>
      </c>
      <c r="B19" s="14" t="s">
        <v>26</v>
      </c>
      <c r="C19" s="14" t="s">
        <v>57</v>
      </c>
      <c r="D19" s="14"/>
      <c r="E19" s="30" t="s">
        <v>51</v>
      </c>
      <c r="F19" s="14" t="s">
        <v>49</v>
      </c>
      <c r="G19" s="19">
        <v>184</v>
      </c>
      <c r="H19" s="15">
        <v>72.306719120247521</v>
      </c>
      <c r="I19" s="21">
        <v>77.368189458664844</v>
      </c>
      <c r="J19" s="16">
        <v>80.983525414677217</v>
      </c>
    </row>
    <row r="20" spans="1:10" ht="43.5" x14ac:dyDescent="0.35">
      <c r="A20" s="14" t="str">
        <f>+[1]summary!A20</f>
        <v>KB10055B</v>
      </c>
      <c r="B20" s="14" t="s">
        <v>26</v>
      </c>
      <c r="C20" s="14" t="s">
        <v>57</v>
      </c>
      <c r="D20" s="14"/>
      <c r="E20" s="30" t="s">
        <v>51</v>
      </c>
      <c r="F20" s="14" t="s">
        <v>50</v>
      </c>
      <c r="G20" s="19">
        <v>104</v>
      </c>
      <c r="H20" s="15">
        <v>67.439920717923187</v>
      </c>
      <c r="I20" s="21">
        <v>72.160715168177816</v>
      </c>
      <c r="J20" s="16">
        <v>75.532711204073976</v>
      </c>
    </row>
    <row r="21" spans="1:10" ht="43.5" x14ac:dyDescent="0.35">
      <c r="A21" s="14" t="str">
        <f>+[1]summary!A21</f>
        <v>KB1009A</v>
      </c>
      <c r="B21" s="14" t="s">
        <v>27</v>
      </c>
      <c r="C21" s="14" t="s">
        <v>57</v>
      </c>
      <c r="D21" s="14"/>
      <c r="E21" s="30" t="s">
        <v>51</v>
      </c>
      <c r="F21" s="14" t="s">
        <v>49</v>
      </c>
      <c r="G21" s="27"/>
      <c r="H21" s="15">
        <v>236.24350471184323</v>
      </c>
      <c r="I21" s="21">
        <v>252.78055004167226</v>
      </c>
      <c r="J21" s="16">
        <v>264.59272527726444</v>
      </c>
    </row>
    <row r="22" spans="1:10" ht="43.5" x14ac:dyDescent="0.35">
      <c r="A22" s="14" t="str">
        <f>+[1]summary!A22</f>
        <v>KB1009B</v>
      </c>
      <c r="B22" s="14" t="s">
        <v>27</v>
      </c>
      <c r="C22" s="14" t="s">
        <v>57</v>
      </c>
      <c r="D22" s="14"/>
      <c r="E22" s="30" t="s">
        <v>51</v>
      </c>
      <c r="F22" s="14" t="s">
        <v>50</v>
      </c>
      <c r="G22" s="19">
        <v>240</v>
      </c>
      <c r="H22" s="15">
        <v>164.08063184979247</v>
      </c>
      <c r="I22" s="21">
        <v>175.56627607927794</v>
      </c>
      <c r="J22" s="16">
        <v>183.7703076717676</v>
      </c>
    </row>
    <row r="23" spans="1:10" ht="43.5" x14ac:dyDescent="0.35">
      <c r="A23" s="14" t="str">
        <f>+[1]summary!A23</f>
        <v>KB1010N</v>
      </c>
      <c r="B23" s="14" t="s">
        <v>27</v>
      </c>
      <c r="C23" s="14" t="s">
        <v>57</v>
      </c>
      <c r="D23" s="14"/>
      <c r="E23" s="30" t="s">
        <v>51</v>
      </c>
      <c r="F23" s="14" t="s">
        <v>48</v>
      </c>
      <c r="G23" s="19">
        <v>614</v>
      </c>
      <c r="H23" s="15">
        <v>421.3256902583654</v>
      </c>
      <c r="I23" s="21">
        <v>450.81848857645099</v>
      </c>
      <c r="J23" s="16">
        <v>471.88477308936928</v>
      </c>
    </row>
    <row r="24" spans="1:10" ht="43.5" x14ac:dyDescent="0.35">
      <c r="A24" s="14" t="str">
        <f>+[1]summary!A24</f>
        <v>KB1020N</v>
      </c>
      <c r="B24" s="14" t="s">
        <v>27</v>
      </c>
      <c r="C24" s="14" t="s">
        <v>57</v>
      </c>
      <c r="D24" s="14"/>
      <c r="E24" s="30" t="s">
        <v>51</v>
      </c>
      <c r="F24" s="14" t="s">
        <v>48</v>
      </c>
      <c r="G24" s="19">
        <v>138</v>
      </c>
      <c r="H24" s="15">
        <v>84.773394830635041</v>
      </c>
      <c r="I24" s="21">
        <v>90.70753246877949</v>
      </c>
      <c r="J24" s="16">
        <v>94.946202210311242</v>
      </c>
    </row>
    <row r="25" spans="1:10" ht="43.5" x14ac:dyDescent="0.35">
      <c r="A25" s="14" t="str">
        <f>+[1]summary!A25</f>
        <v>KB1107A</v>
      </c>
      <c r="B25" s="14" t="s">
        <v>28</v>
      </c>
      <c r="C25" s="14" t="s">
        <v>57</v>
      </c>
      <c r="D25" s="14"/>
      <c r="E25" s="30" t="s">
        <v>51</v>
      </c>
      <c r="F25" s="14" t="s">
        <v>49</v>
      </c>
      <c r="G25" s="19">
        <v>280</v>
      </c>
      <c r="H25" s="15">
        <v>171.41679101782819</v>
      </c>
      <c r="I25" s="21">
        <v>183.41596638907617</v>
      </c>
      <c r="J25" s="16">
        <v>191.98680593996758</v>
      </c>
    </row>
    <row r="26" spans="1:10" ht="43.5" x14ac:dyDescent="0.35">
      <c r="A26" s="14" t="str">
        <f>+[1]summary!A26</f>
        <v>KB1107B</v>
      </c>
      <c r="B26" s="14" t="s">
        <v>28</v>
      </c>
      <c r="C26" s="14" t="s">
        <v>57</v>
      </c>
      <c r="D26" s="14"/>
      <c r="E26" s="30" t="s">
        <v>51</v>
      </c>
      <c r="F26" s="14" t="s">
        <v>50</v>
      </c>
      <c r="G26" s="19">
        <v>178</v>
      </c>
      <c r="H26" s="15">
        <v>120.27944622887327</v>
      </c>
      <c r="I26" s="21">
        <v>128.69900746489441</v>
      </c>
      <c r="J26" s="16">
        <v>134.71297977633807</v>
      </c>
    </row>
    <row r="27" spans="1:10" ht="43.5" x14ac:dyDescent="0.35">
      <c r="A27" s="14" t="str">
        <f>+[1]summary!A27</f>
        <v>KB1109A</v>
      </c>
      <c r="B27" s="14" t="s">
        <v>29</v>
      </c>
      <c r="C27" s="14" t="s">
        <v>57</v>
      </c>
      <c r="D27" s="14"/>
      <c r="E27" s="30" t="s">
        <v>51</v>
      </c>
      <c r="F27" s="14" t="s">
        <v>49</v>
      </c>
      <c r="G27" s="19">
        <v>464</v>
      </c>
      <c r="H27" s="15">
        <v>264.29352506021513</v>
      </c>
      <c r="I27" s="21">
        <v>282.7940718144302</v>
      </c>
      <c r="J27" s="16">
        <v>296.00874806744099</v>
      </c>
    </row>
    <row r="28" spans="1:10" ht="43.5" x14ac:dyDescent="0.35">
      <c r="A28" s="14" t="str">
        <f>+[1]summary!A28</f>
        <v>KB1109B</v>
      </c>
      <c r="B28" s="14" t="s">
        <v>29</v>
      </c>
      <c r="C28" s="14" t="s">
        <v>57</v>
      </c>
      <c r="D28" s="14"/>
      <c r="E28" s="30" t="s">
        <v>51</v>
      </c>
      <c r="F28" s="14" t="s">
        <v>50</v>
      </c>
      <c r="G28" s="19">
        <v>278</v>
      </c>
      <c r="H28" s="15">
        <v>190.5003946052675</v>
      </c>
      <c r="I28" s="21">
        <v>203.83542222763623</v>
      </c>
      <c r="J28" s="16">
        <v>213.36044195789964</v>
      </c>
    </row>
    <row r="29" spans="1:10" ht="43.5" x14ac:dyDescent="0.35">
      <c r="A29" s="14" t="str">
        <f>+[1]summary!A29</f>
        <v>KB2006A</v>
      </c>
      <c r="B29" s="14" t="s">
        <v>30</v>
      </c>
      <c r="C29" s="14" t="s">
        <v>57</v>
      </c>
      <c r="D29" s="14"/>
      <c r="E29" s="30" t="s">
        <v>51</v>
      </c>
      <c r="F29" s="14" t="s">
        <v>49</v>
      </c>
      <c r="G29" s="19">
        <v>120</v>
      </c>
      <c r="H29" s="15">
        <v>79.954545181042946</v>
      </c>
      <c r="I29" s="21">
        <v>85.551363343715963</v>
      </c>
      <c r="J29" s="16">
        <v>89.549090602768104</v>
      </c>
    </row>
    <row r="30" spans="1:10" ht="43.5" x14ac:dyDescent="0.35">
      <c r="A30" s="14" t="str">
        <f>+[1]summary!A30</f>
        <v>KB2006B</v>
      </c>
      <c r="B30" s="14" t="s">
        <v>30</v>
      </c>
      <c r="C30" s="14" t="s">
        <v>57</v>
      </c>
      <c r="D30" s="14"/>
      <c r="E30" s="30" t="s">
        <v>51</v>
      </c>
      <c r="F30" s="14" t="s">
        <v>50</v>
      </c>
      <c r="G30" s="19">
        <v>72</v>
      </c>
      <c r="H30" s="15">
        <v>41.763363629798128</v>
      </c>
      <c r="I30" s="21">
        <v>44.686799083883997</v>
      </c>
      <c r="J30" s="16">
        <v>46.77496726537391</v>
      </c>
    </row>
    <row r="31" spans="1:10" ht="43.5" x14ac:dyDescent="0.35">
      <c r="A31" s="14" t="str">
        <f>+[1]summary!A31</f>
        <v>KB2008A</v>
      </c>
      <c r="B31" s="14" t="s">
        <v>31</v>
      </c>
      <c r="C31" s="14" t="s">
        <v>57</v>
      </c>
      <c r="D31" s="14"/>
      <c r="E31" s="30" t="s">
        <v>51</v>
      </c>
      <c r="F31" s="14" t="s">
        <v>49</v>
      </c>
      <c r="G31" s="19">
        <v>212</v>
      </c>
      <c r="H31" s="15">
        <v>136.27035526508186</v>
      </c>
      <c r="I31" s="21">
        <v>145.8092801336376</v>
      </c>
      <c r="J31" s="16">
        <v>152.62279789689168</v>
      </c>
    </row>
    <row r="32" spans="1:10" ht="43.5" x14ac:dyDescent="0.35">
      <c r="A32" s="14" t="str">
        <f>+[1]summary!A32</f>
        <v>KB2008B</v>
      </c>
      <c r="B32" s="14" t="s">
        <v>31</v>
      </c>
      <c r="C32" s="14" t="s">
        <v>57</v>
      </c>
      <c r="D32" s="14"/>
      <c r="E32" s="30" t="s">
        <v>51</v>
      </c>
      <c r="F32" s="14" t="s">
        <v>49</v>
      </c>
      <c r="G32" s="19">
        <v>126</v>
      </c>
      <c r="H32" s="15">
        <v>73.553386691286292</v>
      </c>
      <c r="I32" s="21">
        <v>78.70212375967634</v>
      </c>
      <c r="J32" s="16">
        <v>82.379793094240668</v>
      </c>
    </row>
    <row r="33" spans="1:10" ht="43.5" x14ac:dyDescent="0.35">
      <c r="A33" s="14" t="str">
        <f>+[1]summary!A33</f>
        <v>KB2010A</v>
      </c>
      <c r="B33" s="14" t="s">
        <v>32</v>
      </c>
      <c r="C33" s="14" t="s">
        <v>57</v>
      </c>
      <c r="D33" s="14"/>
      <c r="E33" s="30" t="s">
        <v>51</v>
      </c>
      <c r="F33" s="14" t="s">
        <v>50</v>
      </c>
      <c r="G33" s="19">
        <v>314</v>
      </c>
      <c r="H33" s="15">
        <v>208.57707438532935</v>
      </c>
      <c r="I33" s="21">
        <v>223.1774695923024</v>
      </c>
      <c r="J33" s="16">
        <v>233.60632331156887</v>
      </c>
    </row>
    <row r="34" spans="1:10" ht="43.5" x14ac:dyDescent="0.35">
      <c r="A34" s="14" t="str">
        <f>+[1]summary!A34</f>
        <v>KB2010B</v>
      </c>
      <c r="B34" s="14" t="s">
        <v>32</v>
      </c>
      <c r="C34" s="14" t="s">
        <v>57</v>
      </c>
      <c r="D34" s="14"/>
      <c r="E34" s="30" t="s">
        <v>51</v>
      </c>
      <c r="F34" s="14" t="s">
        <v>50</v>
      </c>
      <c r="G34" s="19">
        <v>180</v>
      </c>
      <c r="H34" s="15">
        <v>109.08341246589067</v>
      </c>
      <c r="I34" s="21">
        <v>116.71925133850303</v>
      </c>
      <c r="J34" s="16">
        <v>122.17342196179757</v>
      </c>
    </row>
    <row r="35" spans="1:10" ht="43.5" x14ac:dyDescent="0.35">
      <c r="A35" s="14" t="str">
        <f>+[1]summary!A35</f>
        <v>KB21105A</v>
      </c>
      <c r="B35" s="14" t="s">
        <v>33</v>
      </c>
      <c r="C35" s="14" t="s">
        <v>57</v>
      </c>
      <c r="D35" s="14"/>
      <c r="E35" s="30" t="s">
        <v>51</v>
      </c>
      <c r="F35" s="14" t="s">
        <v>49</v>
      </c>
      <c r="G35" s="19">
        <v>352</v>
      </c>
      <c r="H35" s="15">
        <v>248.73999999999998</v>
      </c>
      <c r="I35" s="21">
        <v>266.15179999999998</v>
      </c>
      <c r="J35" s="16">
        <v>278.58880000000005</v>
      </c>
    </row>
    <row r="36" spans="1:10" ht="43.5" x14ac:dyDescent="0.35">
      <c r="A36" s="14" t="str">
        <f>+[1]summary!A36</f>
        <v>KB21105B</v>
      </c>
      <c r="B36" s="14" t="s">
        <v>33</v>
      </c>
      <c r="C36" s="14" t="s">
        <v>57</v>
      </c>
      <c r="D36" s="14"/>
      <c r="E36" s="30" t="s">
        <v>51</v>
      </c>
      <c r="F36" s="14" t="s">
        <v>50</v>
      </c>
      <c r="G36" s="19">
        <v>214</v>
      </c>
      <c r="H36" s="15">
        <v>120.92675439075882</v>
      </c>
      <c r="I36" s="21">
        <v>129.39162719811193</v>
      </c>
      <c r="J36" s="16">
        <v>135.43796491764988</v>
      </c>
    </row>
    <row r="37" spans="1:10" ht="43.5" x14ac:dyDescent="0.35">
      <c r="A37" s="14" t="str">
        <f>+[1]summary!A37</f>
        <v>KB21125A</v>
      </c>
      <c r="B37" s="14" t="s">
        <v>34</v>
      </c>
      <c r="C37" s="14" t="s">
        <v>57</v>
      </c>
      <c r="D37" s="14"/>
      <c r="E37" s="30" t="s">
        <v>51</v>
      </c>
      <c r="F37" s="14" t="s">
        <v>49</v>
      </c>
      <c r="G37" s="19">
        <v>366</v>
      </c>
      <c r="H37" s="15">
        <v>333.723319016527</v>
      </c>
      <c r="I37" s="21">
        <v>357.08395134768398</v>
      </c>
      <c r="J37" s="16">
        <v>373.77011729851029</v>
      </c>
    </row>
    <row r="38" spans="1:10" ht="43.5" x14ac:dyDescent="0.35">
      <c r="A38" s="14" t="str">
        <f>+[1]summary!A38</f>
        <v>KB21125B</v>
      </c>
      <c r="B38" s="14" t="s">
        <v>34</v>
      </c>
      <c r="C38" s="14" t="s">
        <v>57</v>
      </c>
      <c r="D38" s="14"/>
      <c r="E38" s="30" t="s">
        <v>51</v>
      </c>
      <c r="F38" s="14" t="s">
        <v>50</v>
      </c>
      <c r="G38" s="19">
        <v>274</v>
      </c>
      <c r="H38" s="15">
        <v>166.43012073367316</v>
      </c>
      <c r="I38" s="21">
        <v>178.08022918503028</v>
      </c>
      <c r="J38" s="16">
        <v>186.40173522171398</v>
      </c>
    </row>
    <row r="39" spans="1:10" ht="43.5" x14ac:dyDescent="0.35">
      <c r="A39" s="14" t="str">
        <f>+[1]summary!A39</f>
        <v>KB21135N</v>
      </c>
      <c r="B39" s="14" t="s">
        <v>47</v>
      </c>
      <c r="C39" s="14" t="s">
        <v>57</v>
      </c>
      <c r="D39" s="14"/>
      <c r="E39" s="30" t="s">
        <v>51</v>
      </c>
      <c r="F39" s="14" t="s">
        <v>48</v>
      </c>
      <c r="G39" s="19">
        <v>830</v>
      </c>
      <c r="H39" s="15">
        <v>527.00474128026565</v>
      </c>
      <c r="I39" s="21">
        <v>563.89507316988431</v>
      </c>
      <c r="J39" s="16">
        <v>590.2453102338975</v>
      </c>
    </row>
    <row r="40" spans="1:10" ht="43.5" x14ac:dyDescent="0.35">
      <c r="A40" s="14" t="str">
        <f>+[1]summary!A40</f>
        <v>KB21145N</v>
      </c>
      <c r="B40" s="14" t="s">
        <v>47</v>
      </c>
      <c r="C40" s="14" t="s">
        <v>57</v>
      </c>
      <c r="D40" s="14"/>
      <c r="E40" s="30" t="s">
        <v>51</v>
      </c>
      <c r="F40" s="14" t="s">
        <v>48</v>
      </c>
      <c r="G40" s="19">
        <v>618</v>
      </c>
      <c r="H40" s="15">
        <v>440.79288386766285</v>
      </c>
      <c r="I40" s="21">
        <v>471.64838573839927</v>
      </c>
      <c r="J40" s="16">
        <v>493.68802993178241</v>
      </c>
    </row>
    <row r="41" spans="1:10" ht="43.5" x14ac:dyDescent="0.35">
      <c r="A41" s="14" t="str">
        <f>+[1]summary!A41</f>
        <v>KB22105A</v>
      </c>
      <c r="B41" s="14" t="s">
        <v>35</v>
      </c>
      <c r="C41" s="14" t="s">
        <v>57</v>
      </c>
      <c r="D41" s="14"/>
      <c r="E41" s="30" t="s">
        <v>51</v>
      </c>
      <c r="F41" s="14" t="s">
        <v>49</v>
      </c>
      <c r="G41" s="19">
        <v>366</v>
      </c>
      <c r="H41" s="15">
        <v>246.45</v>
      </c>
      <c r="I41" s="21">
        <v>263.70150000000001</v>
      </c>
      <c r="J41" s="16">
        <v>276.024</v>
      </c>
    </row>
    <row r="42" spans="1:10" ht="43.5" x14ac:dyDescent="0.35">
      <c r="A42" s="14" t="str">
        <f>+[1]summary!A42</f>
        <v>KB22105B</v>
      </c>
      <c r="B42" s="14" t="s">
        <v>35</v>
      </c>
      <c r="C42" s="14" t="s">
        <v>57</v>
      </c>
      <c r="D42" s="14"/>
      <c r="E42" s="30" t="s">
        <v>51</v>
      </c>
      <c r="F42" s="14" t="s">
        <v>50</v>
      </c>
      <c r="G42" s="19">
        <v>280</v>
      </c>
      <c r="H42" s="15">
        <v>127.16009224595257</v>
      </c>
      <c r="I42" s="21">
        <v>136.06129870316926</v>
      </c>
      <c r="J42" s="16">
        <v>142.41930331546689</v>
      </c>
    </row>
    <row r="43" spans="1:10" ht="43.5" x14ac:dyDescent="0.35">
      <c r="A43" s="14" t="str">
        <f>+[1]summary!A43</f>
        <v>KB2414A</v>
      </c>
      <c r="B43" s="14" t="s">
        <v>36</v>
      </c>
      <c r="C43" s="14" t="s">
        <v>57</v>
      </c>
      <c r="D43" s="14"/>
      <c r="E43" s="30" t="s">
        <v>51</v>
      </c>
      <c r="F43" s="14" t="s">
        <v>49</v>
      </c>
      <c r="G43" s="19">
        <v>420</v>
      </c>
      <c r="H43" s="15">
        <v>284.36007807866577</v>
      </c>
      <c r="I43" s="21">
        <v>304.26528354417235</v>
      </c>
      <c r="J43" s="16">
        <v>318.48328744810561</v>
      </c>
    </row>
    <row r="44" spans="1:10" ht="43.5" x14ac:dyDescent="0.35">
      <c r="A44" s="14" t="str">
        <f>+[1]summary!A44</f>
        <v>KB2414B</v>
      </c>
      <c r="B44" s="14" t="s">
        <v>36</v>
      </c>
      <c r="C44" s="14" t="s">
        <v>57</v>
      </c>
      <c r="D44" s="14"/>
      <c r="E44" s="30" t="s">
        <v>51</v>
      </c>
      <c r="F44" s="14" t="s">
        <v>50</v>
      </c>
      <c r="G44" s="19">
        <v>254</v>
      </c>
      <c r="H44" s="15">
        <v>147.73010716809193</v>
      </c>
      <c r="I44" s="21">
        <v>158.07121466985836</v>
      </c>
      <c r="J44" s="16">
        <v>165.45772002826297</v>
      </c>
    </row>
    <row r="45" spans="1:10" ht="43.5" x14ac:dyDescent="0.35">
      <c r="A45" s="14" t="str">
        <f>+[1]summary!A45</f>
        <v>KB2416A</v>
      </c>
      <c r="B45" s="14" t="s">
        <v>37</v>
      </c>
      <c r="C45" s="14" t="s">
        <v>57</v>
      </c>
      <c r="D45" s="14"/>
      <c r="E45" s="30" t="s">
        <v>51</v>
      </c>
      <c r="F45" s="14" t="s">
        <v>49</v>
      </c>
      <c r="G45" s="19">
        <v>534</v>
      </c>
      <c r="H45" s="15">
        <v>388.61999999999995</v>
      </c>
      <c r="I45" s="21">
        <v>415.82339999999999</v>
      </c>
      <c r="J45" s="16">
        <v>435.25439999999998</v>
      </c>
    </row>
    <row r="46" spans="1:10" ht="43.5" x14ac:dyDescent="0.35">
      <c r="A46" s="14" t="str">
        <f>+[1]summary!A46</f>
        <v>KB2416B</v>
      </c>
      <c r="B46" s="14" t="s">
        <v>37</v>
      </c>
      <c r="C46" s="14" t="s">
        <v>57</v>
      </c>
      <c r="D46" s="14"/>
      <c r="E46" s="30" t="s">
        <v>51</v>
      </c>
      <c r="F46" s="14" t="s">
        <v>50</v>
      </c>
      <c r="G46" s="19">
        <v>300</v>
      </c>
      <c r="H46" s="15">
        <v>199.46681136620009</v>
      </c>
      <c r="I46" s="21">
        <v>213.42948816183409</v>
      </c>
      <c r="J46" s="16">
        <v>223.40282873014411</v>
      </c>
    </row>
    <row r="47" spans="1:10" ht="43.5" x14ac:dyDescent="0.35">
      <c r="A47" s="14" t="str">
        <f>+[1]summary!A47</f>
        <v>KB2418</v>
      </c>
      <c r="B47" s="14"/>
      <c r="C47" s="14" t="s">
        <v>57</v>
      </c>
      <c r="D47" s="14"/>
      <c r="E47" s="30" t="s">
        <v>51</v>
      </c>
      <c r="F47" s="14" t="s">
        <v>48</v>
      </c>
      <c r="G47" s="19">
        <v>312</v>
      </c>
      <c r="H47" s="15">
        <v>256.89</v>
      </c>
      <c r="I47" s="21">
        <v>274.8723</v>
      </c>
      <c r="J47" s="16">
        <v>287.71680000000003</v>
      </c>
    </row>
    <row r="48" spans="1:10" ht="43.5" x14ac:dyDescent="0.35">
      <c r="A48" s="14" t="str">
        <f>+[1]summary!A48</f>
        <v>KB2420</v>
      </c>
      <c r="B48" s="14"/>
      <c r="C48" s="14" t="s">
        <v>57</v>
      </c>
      <c r="D48" s="14"/>
      <c r="E48" s="30" t="s">
        <v>51</v>
      </c>
      <c r="F48" s="14" t="s">
        <v>48</v>
      </c>
      <c r="G48" s="19">
        <v>398</v>
      </c>
      <c r="H48" s="15">
        <v>310.07</v>
      </c>
      <c r="I48" s="21">
        <v>331.7749</v>
      </c>
      <c r="J48" s="16">
        <v>347.27840000000009</v>
      </c>
    </row>
    <row r="49" spans="1:10" ht="43.5" x14ac:dyDescent="0.35">
      <c r="A49" s="14" t="str">
        <f>+[1]summary!A49</f>
        <v>KB31125</v>
      </c>
      <c r="B49" s="14"/>
      <c r="C49" s="14" t="s">
        <v>57</v>
      </c>
      <c r="D49" s="14" t="s">
        <v>54</v>
      </c>
      <c r="E49" s="30" t="s">
        <v>51</v>
      </c>
      <c r="F49" s="14" t="s">
        <v>48</v>
      </c>
      <c r="G49" s="19">
        <v>326</v>
      </c>
      <c r="H49" s="15">
        <v>270.76</v>
      </c>
      <c r="I49" s="21">
        <v>289.71320000000003</v>
      </c>
      <c r="J49" s="16">
        <v>303.25120000000004</v>
      </c>
    </row>
    <row r="50" spans="1:10" ht="43.5" x14ac:dyDescent="0.35">
      <c r="A50" s="14" t="str">
        <f>+[1]summary!A50</f>
        <v xml:space="preserve">KB31135 </v>
      </c>
      <c r="B50" s="14"/>
      <c r="C50" s="14" t="s">
        <v>57</v>
      </c>
      <c r="D50" s="14"/>
      <c r="E50" s="30" t="s">
        <v>51</v>
      </c>
      <c r="F50" s="14" t="s">
        <v>48</v>
      </c>
      <c r="G50" s="19">
        <v>834</v>
      </c>
      <c r="H50" s="15">
        <v>666.3</v>
      </c>
      <c r="I50" s="21">
        <v>712.94100000000003</v>
      </c>
      <c r="J50" s="16">
        <v>746.25600000000009</v>
      </c>
    </row>
    <row r="51" spans="1:10" ht="43.5" x14ac:dyDescent="0.35">
      <c r="A51" s="14" t="str">
        <f>+[1]summary!A51</f>
        <v>KB51001/2</v>
      </c>
      <c r="B51" s="14" t="s">
        <v>38</v>
      </c>
      <c r="C51" s="14" t="s">
        <v>57</v>
      </c>
      <c r="D51" s="14"/>
      <c r="E51" s="30" t="s">
        <v>51</v>
      </c>
      <c r="F51" s="14" t="s">
        <v>48</v>
      </c>
      <c r="G51" s="19">
        <v>118</v>
      </c>
      <c r="H51" s="15">
        <v>79.954545181042946</v>
      </c>
      <c r="I51" s="21">
        <v>85.551363343715963</v>
      </c>
      <c r="J51" s="16">
        <v>89.549090602768104</v>
      </c>
    </row>
    <row r="52" spans="1:10" ht="43.5" x14ac:dyDescent="0.35">
      <c r="A52" s="14" t="str">
        <f>+[1]summary!A52</f>
        <v>KB51005/6</v>
      </c>
      <c r="B52" s="14"/>
      <c r="C52" s="14" t="s">
        <v>57</v>
      </c>
      <c r="D52" s="14"/>
      <c r="E52" s="30" t="s">
        <v>51</v>
      </c>
      <c r="F52" s="14" t="s">
        <v>48</v>
      </c>
      <c r="G52" s="19">
        <v>176</v>
      </c>
      <c r="H52" s="15">
        <v>108.46007868037128</v>
      </c>
      <c r="I52" s="21">
        <v>116.05228418799729</v>
      </c>
      <c r="J52" s="16">
        <v>121.47528812201585</v>
      </c>
    </row>
    <row r="53" spans="1:10" ht="43.5" x14ac:dyDescent="0.35">
      <c r="A53" s="14" t="str">
        <f>+[1]summary!A53</f>
        <v>KB51007</v>
      </c>
      <c r="B53" s="14"/>
      <c r="C53" s="14" t="s">
        <v>57</v>
      </c>
      <c r="D53" s="14"/>
      <c r="E53" s="30" t="s">
        <v>51</v>
      </c>
      <c r="F53" s="14" t="s">
        <v>48</v>
      </c>
      <c r="G53" s="19">
        <v>78</v>
      </c>
      <c r="H53" s="15">
        <v>75.55</v>
      </c>
      <c r="I53" s="21">
        <v>80.838499999999996</v>
      </c>
      <c r="J53" s="16">
        <v>84.616</v>
      </c>
    </row>
    <row r="54" spans="1:10" ht="43.5" x14ac:dyDescent="0.35">
      <c r="A54" s="14" t="str">
        <f>+[1]summary!A54</f>
        <v>KB60253A</v>
      </c>
      <c r="B54" s="14" t="s">
        <v>39</v>
      </c>
      <c r="C54" s="14" t="s">
        <v>57</v>
      </c>
      <c r="D54" s="14"/>
      <c r="E54" s="30" t="s">
        <v>51</v>
      </c>
      <c r="F54" s="14" t="s">
        <v>48</v>
      </c>
      <c r="G54" s="19">
        <v>300</v>
      </c>
      <c r="H54" s="15">
        <v>197.4529637514452</v>
      </c>
      <c r="I54" s="21">
        <v>211.27467121404635</v>
      </c>
      <c r="J54" s="16">
        <v>221.14731940161863</v>
      </c>
    </row>
    <row r="55" spans="1:10" ht="43.5" x14ac:dyDescent="0.35">
      <c r="A55" s="14" t="str">
        <f>+[1]summary!A55</f>
        <v>KB60253B</v>
      </c>
      <c r="B55" s="14" t="s">
        <v>39</v>
      </c>
      <c r="C55" s="14" t="s">
        <v>57</v>
      </c>
      <c r="D55" s="14"/>
      <c r="E55" s="30" t="s">
        <v>51</v>
      </c>
      <c r="F55" s="14" t="s">
        <v>48</v>
      </c>
      <c r="G55" s="19">
        <v>178</v>
      </c>
      <c r="H55" s="15">
        <v>115.41264782654892</v>
      </c>
      <c r="I55" s="21">
        <v>123.49153317440735</v>
      </c>
      <c r="J55" s="16">
        <v>129.26216556573479</v>
      </c>
    </row>
    <row r="56" spans="1:10" ht="43.5" x14ac:dyDescent="0.35">
      <c r="A56" s="14" t="str">
        <f>+[1]summary!A56</f>
        <v>KB60263</v>
      </c>
      <c r="B56" s="14"/>
      <c r="C56" s="14" t="s">
        <v>57</v>
      </c>
      <c r="D56" s="14"/>
      <c r="E56" s="30" t="s">
        <v>51</v>
      </c>
      <c r="F56" s="14" t="s">
        <v>48</v>
      </c>
      <c r="G56" s="19">
        <v>612</v>
      </c>
      <c r="H56" s="15">
        <v>458.85</v>
      </c>
      <c r="I56" s="21">
        <v>490.96950000000004</v>
      </c>
      <c r="J56" s="16">
        <v>513.91200000000003</v>
      </c>
    </row>
    <row r="57" spans="1:10" ht="43.5" x14ac:dyDescent="0.35">
      <c r="A57" s="14" t="str">
        <f>+[1]summary!A57</f>
        <v>KB61085N</v>
      </c>
      <c r="B57" s="14" t="s">
        <v>40</v>
      </c>
      <c r="C57" s="14" t="s">
        <v>57</v>
      </c>
      <c r="D57" s="14"/>
      <c r="E57" s="30" t="s">
        <v>51</v>
      </c>
      <c r="F57" s="14" t="s">
        <v>48</v>
      </c>
      <c r="G57" s="19">
        <v>48</v>
      </c>
      <c r="H57" s="15">
        <v>31.98181807241717</v>
      </c>
      <c r="I57" s="21">
        <v>34.220545337486371</v>
      </c>
      <c r="J57" s="16">
        <v>35.81963624110724</v>
      </c>
    </row>
    <row r="58" spans="1:10" ht="43.5" x14ac:dyDescent="0.35">
      <c r="A58" s="14" t="str">
        <f>+[1]summary!A58</f>
        <v>KB622070</v>
      </c>
      <c r="B58" s="14"/>
      <c r="C58" s="14" t="s">
        <v>57</v>
      </c>
      <c r="D58" s="14"/>
      <c r="E58" s="30" t="s">
        <v>51</v>
      </c>
      <c r="F58" s="14" t="s">
        <v>48</v>
      </c>
      <c r="G58" s="19">
        <v>412</v>
      </c>
      <c r="H58" s="15">
        <v>313.61</v>
      </c>
      <c r="I58" s="21">
        <v>335.56270000000001</v>
      </c>
      <c r="J58" s="16">
        <v>351.2432</v>
      </c>
    </row>
    <row r="59" spans="1:10" ht="43.5" x14ac:dyDescent="0.35">
      <c r="A59" s="14" t="str">
        <f>+[1]summary!A59</f>
        <v>KB90270</v>
      </c>
      <c r="B59" s="14" t="s">
        <v>41</v>
      </c>
      <c r="C59" s="14" t="s">
        <v>57</v>
      </c>
      <c r="D59" s="14" t="s">
        <v>53</v>
      </c>
      <c r="E59" s="30" t="s">
        <v>51</v>
      </c>
      <c r="F59" s="14" t="s">
        <v>48</v>
      </c>
      <c r="G59" s="19">
        <v>90</v>
      </c>
      <c r="H59" s="15">
        <v>54.853373125705019</v>
      </c>
      <c r="I59" s="21">
        <v>58.693109244504377</v>
      </c>
      <c r="J59" s="16">
        <v>61.435777900789624</v>
      </c>
    </row>
    <row r="60" spans="1:10" ht="43.5" x14ac:dyDescent="0.35">
      <c r="A60" s="14" t="str">
        <f>+[1]summary!A60</f>
        <v xml:space="preserve">KB90275 </v>
      </c>
      <c r="B60" s="14"/>
      <c r="C60" s="14" t="s">
        <v>57</v>
      </c>
      <c r="D60" s="14"/>
      <c r="E60" s="30" t="s">
        <v>51</v>
      </c>
      <c r="F60" s="14" t="s">
        <v>48</v>
      </c>
      <c r="G60" s="19">
        <v>234</v>
      </c>
      <c r="H60" s="15">
        <v>226.33000000000004</v>
      </c>
      <c r="I60" s="21">
        <v>242.17310000000003</v>
      </c>
      <c r="J60" s="16">
        <v>253.48960000000005</v>
      </c>
    </row>
    <row r="61" spans="1:10" ht="43.5" x14ac:dyDescent="0.35">
      <c r="A61" s="14" t="str">
        <f>+[1]summary!A61</f>
        <v>KB90280</v>
      </c>
      <c r="B61" s="14"/>
      <c r="C61" s="14" t="s">
        <v>57</v>
      </c>
      <c r="D61" s="14"/>
      <c r="E61" s="30" t="s">
        <v>51</v>
      </c>
      <c r="F61" s="14" t="s">
        <v>48</v>
      </c>
      <c r="G61" s="19">
        <v>268</v>
      </c>
      <c r="H61" s="15">
        <v>196.44</v>
      </c>
      <c r="I61" s="21">
        <v>210.19080000000002</v>
      </c>
      <c r="J61" s="16">
        <v>220.0128</v>
      </c>
    </row>
    <row r="62" spans="1:10" ht="43.5" x14ac:dyDescent="0.35">
      <c r="A62" s="14" t="str">
        <f>+[1]summary!A62</f>
        <v>KB163</v>
      </c>
      <c r="B62" s="14" t="s">
        <v>21</v>
      </c>
      <c r="C62" s="14" t="s">
        <v>57</v>
      </c>
      <c r="D62" s="14"/>
      <c r="E62" s="30" t="s">
        <v>51</v>
      </c>
      <c r="F62" s="14" t="s">
        <v>48</v>
      </c>
      <c r="G62" s="19">
        <v>104</v>
      </c>
      <c r="H62" s="15">
        <v>63.580046122976285</v>
      </c>
      <c r="I62" s="21">
        <v>68.030649351584628</v>
      </c>
      <c r="J62" s="16">
        <v>71.209651657733446</v>
      </c>
    </row>
    <row r="63" spans="1:10" ht="43.5" x14ac:dyDescent="0.35">
      <c r="A63" s="14" t="str">
        <f>+[1]summary!A63</f>
        <v>KB22085A</v>
      </c>
      <c r="B63" s="14" t="s">
        <v>42</v>
      </c>
      <c r="C63" s="14" t="s">
        <v>57</v>
      </c>
      <c r="D63" s="14"/>
      <c r="E63" s="30" t="s">
        <v>51</v>
      </c>
      <c r="F63" s="14" t="s">
        <v>48</v>
      </c>
      <c r="G63" s="19">
        <v>366</v>
      </c>
      <c r="H63" s="15">
        <v>143.36677066945632</v>
      </c>
      <c r="I63" s="21">
        <v>153.40244461631826</v>
      </c>
      <c r="J63" s="16">
        <v>160.57078314979108</v>
      </c>
    </row>
    <row r="64" spans="1:10" ht="43.5" x14ac:dyDescent="0.35">
      <c r="A64" s="14" t="str">
        <f>+[1]summary!A64</f>
        <v>KB22085B</v>
      </c>
      <c r="B64" s="14" t="s">
        <v>42</v>
      </c>
      <c r="C64" s="14" t="s">
        <v>57</v>
      </c>
      <c r="D64" s="14"/>
      <c r="E64" s="30" t="s">
        <v>51</v>
      </c>
      <c r="F64" s="14" t="s">
        <v>48</v>
      </c>
      <c r="G64" s="19">
        <v>140</v>
      </c>
      <c r="H64" s="15">
        <v>81.033392117518773</v>
      </c>
      <c r="I64" s="21">
        <v>86.705729565745102</v>
      </c>
      <c r="J64" s="16">
        <v>90.757399171621046</v>
      </c>
    </row>
    <row r="65" spans="1:10" ht="43.5" x14ac:dyDescent="0.35">
      <c r="A65" s="14" t="str">
        <f>+[1]summary!A65</f>
        <v>KB2309A</v>
      </c>
      <c r="B65" s="14" t="s">
        <v>43</v>
      </c>
      <c r="C65" s="14" t="s">
        <v>57</v>
      </c>
      <c r="D65" s="14"/>
      <c r="E65" s="30" t="s">
        <v>51</v>
      </c>
      <c r="F65" s="14" t="s">
        <v>48</v>
      </c>
      <c r="G65" s="27"/>
      <c r="H65" s="15">
        <v>145.86010581153383</v>
      </c>
      <c r="I65" s="21">
        <v>156.0703132183412</v>
      </c>
      <c r="J65" s="16">
        <v>163.36331850891787</v>
      </c>
    </row>
    <row r="66" spans="1:10" ht="43.5" x14ac:dyDescent="0.35">
      <c r="A66" s="14" t="str">
        <f>+[1]summary!A66</f>
        <v>KB2309B</v>
      </c>
      <c r="B66" s="14" t="s">
        <v>43</v>
      </c>
      <c r="C66" s="14" t="s">
        <v>57</v>
      </c>
      <c r="D66" s="14"/>
      <c r="E66" s="30" t="s">
        <v>51</v>
      </c>
      <c r="F66" s="14" t="s">
        <v>48</v>
      </c>
      <c r="G66" s="19">
        <v>134</v>
      </c>
      <c r="H66" s="15">
        <v>79.163390760960652</v>
      </c>
      <c r="I66" s="21">
        <v>84.704828114227894</v>
      </c>
      <c r="J66" s="16">
        <v>88.662997652275934</v>
      </c>
    </row>
    <row r="67" spans="1:10" ht="43.5" x14ac:dyDescent="0.35">
      <c r="A67" s="14" t="str">
        <f>+[1]summary!A67</f>
        <v>KB2410A</v>
      </c>
      <c r="B67" s="14" t="s">
        <v>44</v>
      </c>
      <c r="C67" s="14" t="s">
        <v>57</v>
      </c>
      <c r="D67" s="14"/>
      <c r="E67" s="30" t="s">
        <v>51</v>
      </c>
      <c r="F67" s="14" t="s">
        <v>48</v>
      </c>
      <c r="G67" s="19">
        <v>224</v>
      </c>
      <c r="H67" s="15">
        <v>127.78342603147195</v>
      </c>
      <c r="I67" s="21">
        <v>136.728265853675</v>
      </c>
      <c r="J67" s="16">
        <v>143.11743715524858</v>
      </c>
    </row>
    <row r="68" spans="1:10" ht="43.5" x14ac:dyDescent="0.35">
      <c r="A68" s="17" t="str">
        <f>+[1]summary!A68</f>
        <v>KB2410B</v>
      </c>
      <c r="B68" s="17" t="s">
        <v>44</v>
      </c>
      <c r="C68" s="14" t="s">
        <v>57</v>
      </c>
      <c r="D68" s="17"/>
      <c r="E68" s="30" t="s">
        <v>51</v>
      </c>
      <c r="F68" s="17" t="s">
        <v>48</v>
      </c>
      <c r="G68" s="19">
        <v>124</v>
      </c>
      <c r="H68" s="18">
        <v>74.80005426232502</v>
      </c>
      <c r="I68" s="21">
        <v>80.036058060687779</v>
      </c>
      <c r="J68" s="16">
        <v>83.776060773804033</v>
      </c>
    </row>
    <row r="69" spans="1:10" ht="43.5" x14ac:dyDescent="0.35">
      <c r="A69" s="19" t="s">
        <v>1</v>
      </c>
      <c r="B69" s="19" t="s">
        <v>45</v>
      </c>
      <c r="C69" s="14" t="s">
        <v>57</v>
      </c>
      <c r="D69" s="19"/>
      <c r="E69" s="30" t="s">
        <v>51</v>
      </c>
      <c r="F69" s="19" t="s">
        <v>49</v>
      </c>
      <c r="G69" s="19">
        <v>350</v>
      </c>
      <c r="H69" s="20">
        <v>192.7184068968086</v>
      </c>
      <c r="I69" s="21">
        <v>206.20869537958521</v>
      </c>
      <c r="J69" s="19">
        <v>215.84349999999998</v>
      </c>
    </row>
    <row r="70" spans="1:10" ht="43.5" x14ac:dyDescent="0.35">
      <c r="A70" s="19" t="s">
        <v>2</v>
      </c>
      <c r="B70" s="19" t="s">
        <v>45</v>
      </c>
      <c r="C70" s="14" t="s">
        <v>57</v>
      </c>
      <c r="D70" s="19"/>
      <c r="E70" s="30" t="s">
        <v>51</v>
      </c>
      <c r="F70" s="19" t="s">
        <v>50</v>
      </c>
      <c r="G70" s="19">
        <v>218</v>
      </c>
      <c r="H70" s="20">
        <v>121.40587935119228</v>
      </c>
      <c r="I70" s="21">
        <v>129.90429090577578</v>
      </c>
      <c r="J70" s="21">
        <v>135.97</v>
      </c>
    </row>
    <row r="71" spans="1:10" ht="44" thickBot="1" x14ac:dyDescent="0.4">
      <c r="A71" s="22" t="s">
        <v>3</v>
      </c>
      <c r="B71" s="22"/>
      <c r="C71" s="14" t="s">
        <v>57</v>
      </c>
      <c r="D71" s="31"/>
      <c r="E71" s="30" t="s">
        <v>51</v>
      </c>
      <c r="F71" s="22"/>
      <c r="G71" s="19">
        <v>314</v>
      </c>
      <c r="H71" s="23">
        <v>364.54229216419901</v>
      </c>
      <c r="I71" s="21">
        <v>390.06025261569295</v>
      </c>
      <c r="J71" s="24">
        <v>408.29</v>
      </c>
    </row>
  </sheetData>
  <mergeCells count="7">
    <mergeCell ref="A2:A3"/>
    <mergeCell ref="B2:B3"/>
    <mergeCell ref="E2:E3"/>
    <mergeCell ref="H2:J2"/>
    <mergeCell ref="F2:F3"/>
    <mergeCell ref="G2:G3"/>
    <mergeCell ref="C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D349-EEA8-45CE-A461-E69485C67F21}">
  <dimension ref="A1:I6"/>
  <sheetViews>
    <sheetView tabSelected="1" workbookViewId="0">
      <selection activeCell="F15" sqref="F15"/>
    </sheetView>
  </sheetViews>
  <sheetFormatPr defaultRowHeight="14.5" x14ac:dyDescent="0.35"/>
  <cols>
    <col min="5" max="5" width="14.6328125" customWidth="1"/>
    <col min="6" max="6" width="18.81640625" bestFit="1" customWidth="1"/>
    <col min="7" max="7" width="21.54296875" bestFit="1" customWidth="1"/>
    <col min="8" max="8" width="16.7265625" bestFit="1" customWidth="1"/>
  </cols>
  <sheetData>
    <row r="1" spans="1:9" ht="23.5" x14ac:dyDescent="0.55000000000000004">
      <c r="A1" s="38" t="s">
        <v>5</v>
      </c>
      <c r="B1" s="38"/>
      <c r="C1" s="38"/>
      <c r="D1" s="38"/>
      <c r="E1" s="38"/>
      <c r="F1" s="38"/>
      <c r="G1" s="38"/>
      <c r="H1" s="38"/>
    </row>
    <row r="2" spans="1:9" s="5" customFormat="1" ht="15.65" customHeight="1" x14ac:dyDescent="0.35">
      <c r="A2" s="34" t="s">
        <v>0</v>
      </c>
      <c r="B2" s="34" t="s">
        <v>7</v>
      </c>
      <c r="C2" s="34" t="s">
        <v>9</v>
      </c>
      <c r="D2" s="34" t="s">
        <v>13</v>
      </c>
      <c r="E2" s="40" t="s">
        <v>14</v>
      </c>
      <c r="F2" s="39" t="s">
        <v>20</v>
      </c>
      <c r="G2" s="39"/>
      <c r="H2" s="39"/>
      <c r="I2" s="9"/>
    </row>
    <row r="3" spans="1:9" s="5" customFormat="1" ht="15.65" customHeight="1" x14ac:dyDescent="0.35">
      <c r="A3" s="35"/>
      <c r="B3" s="35"/>
      <c r="C3" s="35"/>
      <c r="D3" s="35"/>
      <c r="E3" s="41"/>
      <c r="F3" s="6" t="s">
        <v>17</v>
      </c>
      <c r="G3" s="7" t="s">
        <v>18</v>
      </c>
      <c r="H3" s="8" t="s">
        <v>19</v>
      </c>
      <c r="I3" s="9"/>
    </row>
    <row r="4" spans="1:9" ht="15.5" x14ac:dyDescent="0.35">
      <c r="A4" s="4" t="s">
        <v>6</v>
      </c>
      <c r="B4" s="3" t="s">
        <v>8</v>
      </c>
      <c r="C4" s="3" t="s">
        <v>10</v>
      </c>
      <c r="D4" s="3"/>
      <c r="E4" s="3"/>
      <c r="F4" s="3">
        <v>15.5</v>
      </c>
      <c r="G4" s="3">
        <v>16.3</v>
      </c>
      <c r="H4" s="2">
        <v>20</v>
      </c>
    </row>
    <row r="5" spans="1:9" ht="15.5" x14ac:dyDescent="0.35">
      <c r="A5" s="4" t="s">
        <v>6</v>
      </c>
      <c r="B5" s="3" t="s">
        <v>8</v>
      </c>
      <c r="C5" s="3" t="s">
        <v>11</v>
      </c>
      <c r="D5" s="3"/>
      <c r="E5" s="3"/>
      <c r="F5" s="3">
        <v>16.5</v>
      </c>
      <c r="G5" s="3">
        <v>17.3</v>
      </c>
      <c r="H5" s="2">
        <v>21</v>
      </c>
    </row>
    <row r="6" spans="1:9" ht="15.5" x14ac:dyDescent="0.35">
      <c r="A6" s="4" t="s">
        <v>6</v>
      </c>
      <c r="B6" s="3" t="s">
        <v>8</v>
      </c>
      <c r="C6" s="3" t="s">
        <v>12</v>
      </c>
      <c r="D6" s="3"/>
      <c r="E6" s="3"/>
      <c r="F6" s="3">
        <v>17.5</v>
      </c>
      <c r="G6" s="3">
        <v>18.3</v>
      </c>
      <c r="H6" s="2">
        <v>22</v>
      </c>
    </row>
  </sheetData>
  <mergeCells count="7">
    <mergeCell ref="A1:H1"/>
    <mergeCell ref="F2:H2"/>
    <mergeCell ref="A2:A3"/>
    <mergeCell ref="B2:B3"/>
    <mergeCell ref="C2:C3"/>
    <mergeCell ref="D2:D3"/>
    <mergeCell ref="E2:E3"/>
  </mergeCells>
  <phoneticPr fontId="7" type="noConversion"/>
  <pageMargins left="0.7" right="0.7" top="0.75" bottom="0.75" header="0.3" footer="0.3"/>
  <pageSetup paperSize="25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Buna Plate</vt:lpstr>
      <vt:lpstr>Buna 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2026-09-24T16:08:47Z</dcterms:modified>
</cp:coreProperties>
</file>